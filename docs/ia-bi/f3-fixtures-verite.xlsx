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Projet\epos-pfe\docs\ia-bi\"/>
    </mc:Choice>
  </mc:AlternateContent>
  <xr:revisionPtr revIDLastSave="0" documentId="13_ncr:1_{1C04234E-85F9-4BE0-B732-EFC6CFFE0C3C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Bareme" sheetId="1" r:id="rId1"/>
    <sheet name="Donnees" sheetId="2" r:id="rId2"/>
    <sheet name="Contributions" sheetId="3" r:id="rId3"/>
    <sheet name="Difficulte" sheetId="4" r:id="rId4"/>
    <sheet name="Discrimination" sheetId="5" r:id="rId5"/>
    <sheet name="AlphaCronbach" sheetId="6" r:id="rId6"/>
    <sheet name="Synthese" sheetId="7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7" i="4" l="1"/>
  <c r="C7" i="4"/>
  <c r="B7" i="4"/>
  <c r="E7" i="4" s="1"/>
  <c r="B8" i="7" s="1"/>
  <c r="D6" i="4"/>
  <c r="C6" i="4"/>
  <c r="B6" i="4"/>
  <c r="D5" i="4"/>
  <c r="C5" i="4"/>
  <c r="B5" i="4"/>
  <c r="D4" i="4"/>
  <c r="C4" i="4"/>
  <c r="B4" i="4"/>
  <c r="E4" i="4" s="1"/>
  <c r="B5" i="7" s="1"/>
  <c r="E11" i="3"/>
  <c r="D11" i="3"/>
  <c r="C11" i="3"/>
  <c r="B11" i="3"/>
  <c r="F11" i="3" s="1"/>
  <c r="A11" i="3"/>
  <c r="A16" i="5" s="1"/>
  <c r="E10" i="3"/>
  <c r="D10" i="3"/>
  <c r="C10" i="3"/>
  <c r="B10" i="3"/>
  <c r="A10" i="3"/>
  <c r="A15" i="5" s="1"/>
  <c r="E9" i="3"/>
  <c r="D9" i="3"/>
  <c r="C9" i="3"/>
  <c r="B9" i="3"/>
  <c r="A9" i="3"/>
  <c r="A14" i="5" s="1"/>
  <c r="E8" i="3"/>
  <c r="D8" i="3"/>
  <c r="C8" i="3"/>
  <c r="B8" i="3"/>
  <c r="A8" i="3"/>
  <c r="A13" i="5" s="1"/>
  <c r="E7" i="3"/>
  <c r="D7" i="3"/>
  <c r="C7" i="3"/>
  <c r="B7" i="3"/>
  <c r="F7" i="3" s="1"/>
  <c r="A7" i="3"/>
  <c r="A12" i="5" s="1"/>
  <c r="E6" i="3"/>
  <c r="D6" i="3"/>
  <c r="C6" i="3"/>
  <c r="B6" i="3"/>
  <c r="A6" i="3"/>
  <c r="A11" i="5" s="1"/>
  <c r="E5" i="3"/>
  <c r="D5" i="3"/>
  <c r="C5" i="3"/>
  <c r="B5" i="3"/>
  <c r="A5" i="3"/>
  <c r="A10" i="5" s="1"/>
  <c r="E4" i="3"/>
  <c r="B7" i="6" s="1"/>
  <c r="D4" i="3"/>
  <c r="C4" i="3"/>
  <c r="B4" i="3"/>
  <c r="A4" i="3"/>
  <c r="A9" i="5" s="1"/>
  <c r="F4" i="3" l="1"/>
  <c r="F8" i="3"/>
  <c r="C13" i="5" s="1"/>
  <c r="B5" i="6"/>
  <c r="F5" i="3"/>
  <c r="B11" i="6" s="1"/>
  <c r="F9" i="3"/>
  <c r="E6" i="4"/>
  <c r="B7" i="7" s="1"/>
  <c r="B6" i="6"/>
  <c r="F6" i="3"/>
  <c r="E11" i="5" s="1"/>
  <c r="F10" i="3"/>
  <c r="E5" i="4"/>
  <c r="B6" i="7" s="1"/>
  <c r="E12" i="5"/>
  <c r="D12" i="5"/>
  <c r="C12" i="5"/>
  <c r="B12" i="5"/>
  <c r="E16" i="5"/>
  <c r="D16" i="5"/>
  <c r="C16" i="5"/>
  <c r="B16" i="5"/>
  <c r="D9" i="5"/>
  <c r="C9" i="5"/>
  <c r="B9" i="5"/>
  <c r="E9" i="5"/>
  <c r="D13" i="5"/>
  <c r="B13" i="5"/>
  <c r="E13" i="5"/>
  <c r="C10" i="5"/>
  <c r="C14" i="5"/>
  <c r="B14" i="5"/>
  <c r="E14" i="5"/>
  <c r="D14" i="5"/>
  <c r="B11" i="5"/>
  <c r="B15" i="5"/>
  <c r="E15" i="5"/>
  <c r="D15" i="5"/>
  <c r="C15" i="5"/>
  <c r="B4" i="6"/>
  <c r="C11" i="5" l="1"/>
  <c r="D5" i="5" s="1"/>
  <c r="B13" i="7" s="1"/>
  <c r="D10" i="5"/>
  <c r="D11" i="5"/>
  <c r="E10" i="5"/>
  <c r="D7" i="5" s="1"/>
  <c r="B15" i="7" s="1"/>
  <c r="B10" i="6"/>
  <c r="B12" i="6" s="1"/>
  <c r="B18" i="7" s="1"/>
  <c r="B10" i="5"/>
  <c r="D4" i="5" s="1"/>
  <c r="B12" i="7" s="1"/>
  <c r="D6" i="5" l="1"/>
  <c r="B14" i="7" s="1"/>
</calcChain>
</file>

<file path=xl/sharedStrings.xml><?xml version="1.0" encoding="utf-8"?>
<sst xmlns="http://schemas.openxmlformats.org/spreadsheetml/2006/main" count="83" uniqueCount="71">
  <si>
    <t>F3 — Fixtures de vérité (#358) — barème des 4 critères</t>
  </si>
  <si>
    <t>item_id</t>
  </si>
  <si>
    <t>libellé</t>
  </si>
  <si>
    <t>type</t>
  </si>
  <si>
    <t>ponderation</t>
  </si>
  <si>
    <t>valeur_max</t>
  </si>
  <si>
    <t>note (si BINAIRE : pondération = points ; si NUMERIQUE : barème 0..valeur_max)</t>
  </si>
  <si>
    <t>Hygiène des mains</t>
  </si>
  <si>
    <t>BINAIRE</t>
  </si>
  <si>
    <t>Fait / non fait — contribution = valeur × pondération</t>
  </si>
  <si>
    <t>Calcul de dose</t>
  </si>
  <si>
    <t>NUMERIQUE</t>
  </si>
  <si>
    <t>Valeur brute 0..10 — contribution = valeur (la pondération plafonne, ne multiplie pas)</t>
  </si>
  <si>
    <t>Vérification allergies</t>
  </si>
  <si>
    <t>Communication patient</t>
  </si>
  <si>
    <t>Valeur brute 0..4 — contribution = valeur</t>
  </si>
  <si>
    <t>Note méthodologique (contrat #358, engine.py) :</t>
  </si>
  <si>
    <t>1) Variances ÉCHANTILLON (ddof=1) : VAR.S(), jamais VAR.P().</t>
  </si>
  <si>
    <t>2) contribution(item) = valeur × pondération si BINAIRE ; valeur brute si NUMERIQUE (même arithmétique que le scoring, ExamItemSnapshot.weigh).</t>
  </si>
  <si>
    <t>3) 8 étudiants : sous les seuils de production — on vérifie ici la FORMULE, pas le contrat de refus (qui a ses propres tests).</t>
  </si>
  <si>
    <t>Valeurs saisies (8 étudiants × 4 critères) — bleu = données d'entrée</t>
  </si>
  <si>
    <t>Etudiant</t>
  </si>
  <si>
    <t>C1 (BINAIRE)</t>
  </si>
  <si>
    <t>C2 (NUMERIQUE /10)</t>
  </si>
  <si>
    <t>C3 (BINAIRE)</t>
  </si>
  <si>
    <t>C4 (NUMERIQUE /4)</t>
  </si>
  <si>
    <t>E1</t>
  </si>
  <si>
    <t>E2</t>
  </si>
  <si>
    <t>E3</t>
  </si>
  <si>
    <t>E4</t>
  </si>
  <si>
    <t>E5</t>
  </si>
  <si>
    <t>E6</t>
  </si>
  <si>
    <t>E7</t>
  </si>
  <si>
    <t>E8</t>
  </si>
  <si>
    <t>Contributions pondérées — contribution = valeur×pondération (BINAIRE) ou valeur brute (NUMERIQUE)</t>
  </si>
  <si>
    <t>Contrib. C1</t>
  </si>
  <si>
    <t>Contrib. C2</t>
  </si>
  <si>
    <t>Contrib. C3</t>
  </si>
  <si>
    <t>Contrib. C4</t>
  </si>
  <si>
    <t>TOTAL</t>
  </si>
  <si>
    <t>Difficulté p = moyenne(valeur) / valeur_max  (BINAIRE : dénominateur 1, p = moyenne)</t>
  </si>
  <si>
    <t>moyenne(valeur)</t>
  </si>
  <si>
    <t>valeur_max effectif</t>
  </si>
  <si>
    <t>p</t>
  </si>
  <si>
    <t>Point-bisériale corrigée r = CORREL(contribution_item ; total − contribution_item)</t>
  </si>
  <si>
    <t>plage contribution</t>
  </si>
  <si>
    <t>plage reste (total - item)</t>
  </si>
  <si>
    <t>r (CORREL)</t>
  </si>
  <si>
    <t>Contributions!B4:B11</t>
  </si>
  <si>
    <t>B9:B16 (feuille reste)</t>
  </si>
  <si>
    <t>Contributions!C4:C11</t>
  </si>
  <si>
    <t>C9:C16 (feuille reste)</t>
  </si>
  <si>
    <t>Contributions!D4:D11</t>
  </si>
  <si>
    <t>D9:D16 (feuille reste)</t>
  </si>
  <si>
    <t>Contributions!E4:E11</t>
  </si>
  <si>
    <t>E9:E16 (feuille reste)</t>
  </si>
  <si>
    <t>reste C1</t>
  </si>
  <si>
    <t>reste C2</t>
  </si>
  <si>
    <t>reste C3</t>
  </si>
  <si>
    <t>reste C4</t>
  </si>
  <si>
    <t>Alpha de Cronbach = k/(k-1) x (1 - somme(var_item)/var_total)  — variances ECHANTILLON (VAR.S)</t>
  </si>
  <si>
    <t>_xlfn.VAR.S(contribution_item)</t>
  </si>
  <si>
    <t>k (nb critères)</t>
  </si>
  <si>
    <t>Somme _xlfn.VAR.S(item)</t>
  </si>
  <si>
    <t>_xlfn.VAR.S(total)</t>
  </si>
  <si>
    <t>alpha de Cronbach</t>
  </si>
  <si>
    <t>Synthèse — valeurs attendues (recopiées dans le fixture JSON, #358)</t>
  </si>
  <si>
    <t>Difficulté p par critère</t>
  </si>
  <si>
    <t>Discrimination r par critère</t>
  </si>
  <si>
    <t>r</t>
  </si>
  <si>
    <t>Alpha de Cronbach (k=4)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</si>
</sst>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charset val="1"/>
    </font>
    <font>
      <b/>
      <sz val="13"/>
      <name val="Arial"/>
      <charset val="1"/>
    </font>
    <font>
      <b/>
      <sz val="11"/>
      <color rgb="FFFFFFFF"/>
      <name val="Arial"/>
      <charset val="1"/>
    </font>
    <font>
      <sz val="11"/>
      <color rgb="FF0000FF"/>
      <name val="Arial"/>
      <charset val="1"/>
    </font>
    <font>
      <b/>
      <sz val="11"/>
      <name val="Arial"/>
      <charset val="1"/>
    </font>
    <font>
      <sz val="11"/>
      <color rgb="FF000000"/>
      <name val="Arial"/>
      <charset val="1"/>
    </font>
    <font>
      <b/>
      <sz val="11"/>
      <color rgb="FF1F5E3A"/>
      <name val="Arial"/>
      <charset val="1"/>
    </font>
  </fonts>
  <fills count="3">
    <fill>
      <patternFill patternType="none"/>
    </fill>
    <fill>
      <patternFill patternType="gray125"/>
    </fill>
    <fill>
      <patternFill patternType="solid">
        <fgColor rgb="FF1F5E3A"/>
        <bgColor rgb="FF008000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4" fillId="0" borderId="0" xfId="0" applyFont="1" applyBorder="1" applyAlignment="1"/>
    <xf numFmtId="0" fontId="1" fillId="0" borderId="0" xfId="0" applyFont="1" applyBorder="1" applyAlignment="1"/>
    <xf numFmtId="0" fontId="0" fillId="0" borderId="0" xfId="0" applyAlignment="1"/>
    <xf numFmtId="0" fontId="2" fillId="2" borderId="1" xfId="0" applyFont="1" applyFill="1" applyBorder="1" applyAlignment="1">
      <alignment horizontal="center"/>
    </xf>
    <xf numFmtId="0" fontId="3" fillId="0" borderId="1" xfId="0" applyFont="1" applyBorder="1" applyAlignment="1"/>
    <xf numFmtId="0" fontId="0" fillId="0" borderId="1" xfId="0" applyFont="1" applyBorder="1" applyAlignment="1"/>
    <xf numFmtId="0" fontId="4" fillId="0" borderId="0" xfId="0" applyFont="1" applyAlignment="1"/>
    <xf numFmtId="0" fontId="5" fillId="0" borderId="1" xfId="0" applyFont="1" applyBorder="1" applyAlignment="1"/>
    <xf numFmtId="0" fontId="4" fillId="0" borderId="1" xfId="0" applyFont="1" applyBorder="1" applyAlignment="1"/>
    <xf numFmtId="0" fontId="6" fillId="0" borderId="1" xfId="0" applyFont="1" applyBorder="1" applyAlignment="1"/>
    <xf numFmtId="0" fontId="5" fillId="0" borderId="0" xfId="0" applyFont="1" applyAlignme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5E3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2"/>
  <sheetViews>
    <sheetView tabSelected="1" zoomScaleNormal="100" workbookViewId="0">
      <selection activeCell="F17" sqref="F17"/>
    </sheetView>
  </sheetViews>
  <sheetFormatPr baseColWidth="10" defaultColWidth="8.6640625" defaultRowHeight="14.4" x14ac:dyDescent="0.3"/>
  <cols>
    <col min="1" max="1" width="10" style="3" customWidth="1"/>
    <col min="2" max="2" width="26" style="3" customWidth="1"/>
    <col min="3" max="3" width="14.6640625" style="3" customWidth="1"/>
    <col min="4" max="4" width="18.21875" style="3" customWidth="1"/>
    <col min="5" max="5" width="15.5546875" style="3" customWidth="1"/>
    <col min="6" max="6" width="89.109375" style="3" customWidth="1"/>
  </cols>
  <sheetData>
    <row r="1" spans="1:6" ht="15.75" customHeight="1" x14ac:dyDescent="0.3">
      <c r="A1" s="2" t="s">
        <v>0</v>
      </c>
      <c r="B1" s="2"/>
      <c r="C1" s="2"/>
      <c r="D1" s="2"/>
      <c r="E1" s="2"/>
      <c r="F1" s="2"/>
    </row>
    <row r="3" spans="1:6" ht="15" customHeight="1" x14ac:dyDescent="0.3">
      <c r="A3" s="4" t="s">
        <v>1</v>
      </c>
      <c r="B3" s="4" t="s">
        <v>2</v>
      </c>
      <c r="C3" s="4" t="s">
        <v>3</v>
      </c>
      <c r="D3" s="4" t="s">
        <v>4</v>
      </c>
      <c r="E3" s="4" t="s">
        <v>5</v>
      </c>
      <c r="F3" s="4" t="s">
        <v>6</v>
      </c>
    </row>
    <row r="4" spans="1:6" ht="15" customHeight="1" x14ac:dyDescent="0.3">
      <c r="A4" s="5">
        <v>1</v>
      </c>
      <c r="B4" s="5" t="s">
        <v>7</v>
      </c>
      <c r="C4" s="5" t="s">
        <v>8</v>
      </c>
      <c r="D4" s="5">
        <v>4</v>
      </c>
      <c r="E4" s="5"/>
      <c r="F4" s="6" t="s">
        <v>9</v>
      </c>
    </row>
    <row r="5" spans="1:6" ht="15" customHeight="1" x14ac:dyDescent="0.3">
      <c r="A5" s="5">
        <v>2</v>
      </c>
      <c r="B5" s="5" t="s">
        <v>10</v>
      </c>
      <c r="C5" s="5" t="s">
        <v>11</v>
      </c>
      <c r="D5" s="5">
        <v>10</v>
      </c>
      <c r="E5" s="5">
        <v>10</v>
      </c>
      <c r="F5" s="6" t="s">
        <v>12</v>
      </c>
    </row>
    <row r="6" spans="1:6" ht="15" customHeight="1" x14ac:dyDescent="0.3">
      <c r="A6" s="5">
        <v>3</v>
      </c>
      <c r="B6" s="5" t="s">
        <v>13</v>
      </c>
      <c r="C6" s="5" t="s">
        <v>8</v>
      </c>
      <c r="D6" s="5">
        <v>2</v>
      </c>
      <c r="E6" s="5"/>
      <c r="F6" s="6" t="s">
        <v>9</v>
      </c>
    </row>
    <row r="7" spans="1:6" ht="15" customHeight="1" x14ac:dyDescent="0.3">
      <c r="A7" s="5">
        <v>4</v>
      </c>
      <c r="B7" s="5" t="s">
        <v>14</v>
      </c>
      <c r="C7" s="5" t="s">
        <v>11</v>
      </c>
      <c r="D7" s="5">
        <v>4</v>
      </c>
      <c r="E7" s="5">
        <v>4</v>
      </c>
      <c r="F7" s="6" t="s">
        <v>15</v>
      </c>
    </row>
    <row r="9" spans="1:6" ht="15" customHeight="1" x14ac:dyDescent="0.3">
      <c r="A9" s="7" t="s">
        <v>16</v>
      </c>
    </row>
    <row r="10" spans="1:6" ht="15" customHeight="1" x14ac:dyDescent="0.3">
      <c r="A10" s="3" t="s">
        <v>17</v>
      </c>
    </row>
    <row r="11" spans="1:6" ht="15" customHeight="1" x14ac:dyDescent="0.3">
      <c r="A11" s="3" t="s">
        <v>18</v>
      </c>
    </row>
    <row r="12" spans="1:6" ht="15" customHeight="1" x14ac:dyDescent="0.3">
      <c r="A12" s="3" t="s">
        <v>19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1"/>
  <sheetViews>
    <sheetView zoomScaleNormal="100" workbookViewId="0">
      <selection sqref="A1:E1"/>
    </sheetView>
  </sheetViews>
  <sheetFormatPr baseColWidth="10" defaultColWidth="8.6640625" defaultRowHeight="14.4" x14ac:dyDescent="0.3"/>
  <cols>
    <col min="1" max="1" width="10" style="3" customWidth="1"/>
    <col min="2" max="2" width="15" style="3" customWidth="1"/>
    <col min="3" max="3" width="20" style="3" customWidth="1"/>
    <col min="4" max="4" width="15" style="3" customWidth="1"/>
    <col min="5" max="5" width="20" style="3" customWidth="1"/>
  </cols>
  <sheetData>
    <row r="1" spans="1:5" ht="15" customHeight="1" x14ac:dyDescent="0.3">
      <c r="A1" s="1" t="s">
        <v>20</v>
      </c>
      <c r="B1" s="1"/>
      <c r="C1" s="1"/>
      <c r="D1" s="1"/>
      <c r="E1" s="1"/>
    </row>
    <row r="3" spans="1:5" ht="15" customHeight="1" x14ac:dyDescent="0.3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</row>
    <row r="4" spans="1:5" ht="15" customHeight="1" x14ac:dyDescent="0.3">
      <c r="A4" s="6" t="s">
        <v>26</v>
      </c>
      <c r="B4" s="5">
        <v>1</v>
      </c>
      <c r="C4" s="5">
        <v>8</v>
      </c>
      <c r="D4" s="5">
        <v>1</v>
      </c>
      <c r="E4" s="5">
        <v>4</v>
      </c>
    </row>
    <row r="5" spans="1:5" ht="15" customHeight="1" x14ac:dyDescent="0.3">
      <c r="A5" s="6" t="s">
        <v>27</v>
      </c>
      <c r="B5" s="5">
        <v>1</v>
      </c>
      <c r="C5" s="5">
        <v>6</v>
      </c>
      <c r="D5" s="5">
        <v>0</v>
      </c>
      <c r="E5" s="5">
        <v>2</v>
      </c>
    </row>
    <row r="6" spans="1:5" ht="15" customHeight="1" x14ac:dyDescent="0.3">
      <c r="A6" s="6" t="s">
        <v>28</v>
      </c>
      <c r="B6" s="5">
        <v>0</v>
      </c>
      <c r="C6" s="5">
        <v>9</v>
      </c>
      <c r="D6" s="5">
        <v>1</v>
      </c>
      <c r="E6" s="5">
        <v>4</v>
      </c>
    </row>
    <row r="7" spans="1:5" ht="15" customHeight="1" x14ac:dyDescent="0.3">
      <c r="A7" s="6" t="s">
        <v>29</v>
      </c>
      <c r="B7" s="5">
        <v>1</v>
      </c>
      <c r="C7" s="5">
        <v>5</v>
      </c>
      <c r="D7" s="5">
        <v>1</v>
      </c>
      <c r="E7" s="5">
        <v>2</v>
      </c>
    </row>
    <row r="8" spans="1:5" ht="15" customHeight="1" x14ac:dyDescent="0.3">
      <c r="A8" s="6" t="s">
        <v>30</v>
      </c>
      <c r="B8" s="5">
        <v>0</v>
      </c>
      <c r="C8" s="5">
        <v>7</v>
      </c>
      <c r="D8" s="5">
        <v>0</v>
      </c>
      <c r="E8" s="5">
        <v>4</v>
      </c>
    </row>
    <row r="9" spans="1:5" ht="15" customHeight="1" x14ac:dyDescent="0.3">
      <c r="A9" s="6" t="s">
        <v>31</v>
      </c>
      <c r="B9" s="5">
        <v>1</v>
      </c>
      <c r="C9" s="5">
        <v>4</v>
      </c>
      <c r="D9" s="5">
        <v>1</v>
      </c>
      <c r="E9" s="5">
        <v>0</v>
      </c>
    </row>
    <row r="10" spans="1:5" ht="15" customHeight="1" x14ac:dyDescent="0.3">
      <c r="A10" s="6" t="s">
        <v>32</v>
      </c>
      <c r="B10" s="5">
        <v>1</v>
      </c>
      <c r="C10" s="5">
        <v>10</v>
      </c>
      <c r="D10" s="5">
        <v>1</v>
      </c>
      <c r="E10" s="5">
        <v>4</v>
      </c>
    </row>
    <row r="11" spans="1:5" ht="15" customHeight="1" x14ac:dyDescent="0.3">
      <c r="A11" s="6" t="s">
        <v>33</v>
      </c>
      <c r="B11" s="5">
        <v>0</v>
      </c>
      <c r="C11" s="5">
        <v>3</v>
      </c>
      <c r="D11" s="5">
        <v>0</v>
      </c>
      <c r="E11" s="5">
        <v>2</v>
      </c>
    </row>
  </sheetData>
  <mergeCells count="1">
    <mergeCell ref="A1:E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1"/>
  <sheetViews>
    <sheetView zoomScaleNormal="100" workbookViewId="0">
      <selection sqref="A1:F1"/>
    </sheetView>
  </sheetViews>
  <sheetFormatPr baseColWidth="10" defaultColWidth="8.6640625" defaultRowHeight="14.4" x14ac:dyDescent="0.3"/>
  <cols>
    <col min="1" max="1" width="10" style="3" customWidth="1"/>
    <col min="2" max="5" width="13" style="3" customWidth="1"/>
    <col min="6" max="6" width="41" style="3" customWidth="1"/>
  </cols>
  <sheetData>
    <row r="1" spans="1:6" ht="15" customHeight="1" x14ac:dyDescent="0.3">
      <c r="A1" s="1" t="s">
        <v>34</v>
      </c>
      <c r="B1" s="1"/>
      <c r="C1" s="1"/>
      <c r="D1" s="1"/>
      <c r="E1" s="1"/>
      <c r="F1" s="1"/>
    </row>
    <row r="3" spans="1:6" ht="15" customHeight="1" x14ac:dyDescent="0.3">
      <c r="A3" s="4" t="s">
        <v>21</v>
      </c>
      <c r="B3" s="4" t="s">
        <v>35</v>
      </c>
      <c r="C3" s="4" t="s">
        <v>36</v>
      </c>
      <c r="D3" s="4" t="s">
        <v>37</v>
      </c>
      <c r="E3" s="4" t="s">
        <v>38</v>
      </c>
      <c r="F3" s="4" t="s">
        <v>39</v>
      </c>
    </row>
    <row r="4" spans="1:6" ht="15" customHeight="1" x14ac:dyDescent="0.3">
      <c r="A4" s="6" t="str">
        <f>Donnees!A4</f>
        <v>E1</v>
      </c>
      <c r="B4" s="8">
        <f>IF(Bareme!$C$4="BINAIRE",Donnees!B4*Bareme!$D$4,Donnees!B4)</f>
        <v>4</v>
      </c>
      <c r="C4" s="8">
        <f>IF(Bareme!$C$5="BINAIRE",Donnees!C4*Bareme!$D$5,Donnees!C4)</f>
        <v>8</v>
      </c>
      <c r="D4" s="8">
        <f>IF(Bareme!$C$6="BINAIRE",Donnees!D4*Bareme!$D$6,Donnees!D4)</f>
        <v>2</v>
      </c>
      <c r="E4" s="8">
        <f>IF(Bareme!$C$7="BINAIRE",Donnees!E4*Bareme!$D$7,Donnees!E4)</f>
        <v>4</v>
      </c>
      <c r="F4" s="8">
        <f t="shared" ref="F4:F11" si="0">SUM(B4:E4)</f>
        <v>18</v>
      </c>
    </row>
    <row r="5" spans="1:6" ht="15" customHeight="1" x14ac:dyDescent="0.3">
      <c r="A5" s="6" t="str">
        <f>Donnees!A5</f>
        <v>E2</v>
      </c>
      <c r="B5" s="8">
        <f>IF(Bareme!$C$4="BINAIRE",Donnees!B5*Bareme!$D$4,Donnees!B5)</f>
        <v>4</v>
      </c>
      <c r="C5" s="8">
        <f>IF(Bareme!$C$5="BINAIRE",Donnees!C5*Bareme!$D$5,Donnees!C5)</f>
        <v>6</v>
      </c>
      <c r="D5" s="8">
        <f>IF(Bareme!$C$6="BINAIRE",Donnees!D5*Bareme!$D$6,Donnees!D5)</f>
        <v>0</v>
      </c>
      <c r="E5" s="8">
        <f>IF(Bareme!$C$7="BINAIRE",Donnees!E5*Bareme!$D$7,Donnees!E5)</f>
        <v>2</v>
      </c>
      <c r="F5" s="8">
        <f t="shared" si="0"/>
        <v>12</v>
      </c>
    </row>
    <row r="6" spans="1:6" ht="15" customHeight="1" x14ac:dyDescent="0.3">
      <c r="A6" s="6" t="str">
        <f>Donnees!A6</f>
        <v>E3</v>
      </c>
      <c r="B6" s="8">
        <f>IF(Bareme!$C$4="BINAIRE",Donnees!B6*Bareme!$D$4,Donnees!B6)</f>
        <v>0</v>
      </c>
      <c r="C6" s="8">
        <f>IF(Bareme!$C$5="BINAIRE",Donnees!C6*Bareme!$D$5,Donnees!C6)</f>
        <v>9</v>
      </c>
      <c r="D6" s="8">
        <f>IF(Bareme!$C$6="BINAIRE",Donnees!D6*Bareme!$D$6,Donnees!D6)</f>
        <v>2</v>
      </c>
      <c r="E6" s="8">
        <f>IF(Bareme!$C$7="BINAIRE",Donnees!E6*Bareme!$D$7,Donnees!E6)</f>
        <v>4</v>
      </c>
      <c r="F6" s="8">
        <f t="shared" si="0"/>
        <v>15</v>
      </c>
    </row>
    <row r="7" spans="1:6" ht="15" customHeight="1" x14ac:dyDescent="0.3">
      <c r="A7" s="6" t="str">
        <f>Donnees!A7</f>
        <v>E4</v>
      </c>
      <c r="B7" s="8">
        <f>IF(Bareme!$C$4="BINAIRE",Donnees!B7*Bareme!$D$4,Donnees!B7)</f>
        <v>4</v>
      </c>
      <c r="C7" s="8">
        <f>IF(Bareme!$C$5="BINAIRE",Donnees!C7*Bareme!$D$5,Donnees!C7)</f>
        <v>5</v>
      </c>
      <c r="D7" s="8">
        <f>IF(Bareme!$C$6="BINAIRE",Donnees!D7*Bareme!$D$6,Donnees!D7)</f>
        <v>2</v>
      </c>
      <c r="E7" s="8">
        <f>IF(Bareme!$C$7="BINAIRE",Donnees!E7*Bareme!$D$7,Donnees!E7)</f>
        <v>2</v>
      </c>
      <c r="F7" s="8">
        <f t="shared" si="0"/>
        <v>13</v>
      </c>
    </row>
    <row r="8" spans="1:6" ht="15" customHeight="1" x14ac:dyDescent="0.3">
      <c r="A8" s="6" t="str">
        <f>Donnees!A8</f>
        <v>E5</v>
      </c>
      <c r="B8" s="8">
        <f>IF(Bareme!$C$4="BINAIRE",Donnees!B8*Bareme!$D$4,Donnees!B8)</f>
        <v>0</v>
      </c>
      <c r="C8" s="8">
        <f>IF(Bareme!$C$5="BINAIRE",Donnees!C8*Bareme!$D$5,Donnees!C8)</f>
        <v>7</v>
      </c>
      <c r="D8" s="8">
        <f>IF(Bareme!$C$6="BINAIRE",Donnees!D8*Bareme!$D$6,Donnees!D8)</f>
        <v>0</v>
      </c>
      <c r="E8" s="8">
        <f>IF(Bareme!$C$7="BINAIRE",Donnees!E8*Bareme!$D$7,Donnees!E8)</f>
        <v>4</v>
      </c>
      <c r="F8" s="8">
        <f t="shared" si="0"/>
        <v>11</v>
      </c>
    </row>
    <row r="9" spans="1:6" ht="15" customHeight="1" x14ac:dyDescent="0.3">
      <c r="A9" s="6" t="str">
        <f>Donnees!A9</f>
        <v>E6</v>
      </c>
      <c r="B9" s="8">
        <f>IF(Bareme!$C$4="BINAIRE",Donnees!B9*Bareme!$D$4,Donnees!B9)</f>
        <v>4</v>
      </c>
      <c r="C9" s="8">
        <f>IF(Bareme!$C$5="BINAIRE",Donnees!C9*Bareme!$D$5,Donnees!C9)</f>
        <v>4</v>
      </c>
      <c r="D9" s="8">
        <f>IF(Bareme!$C$6="BINAIRE",Donnees!D9*Bareme!$D$6,Donnees!D9)</f>
        <v>2</v>
      </c>
      <c r="E9" s="8">
        <f>IF(Bareme!$C$7="BINAIRE",Donnees!E9*Bareme!$D$7,Donnees!E9)</f>
        <v>0</v>
      </c>
      <c r="F9" s="8">
        <f t="shared" si="0"/>
        <v>10</v>
      </c>
    </row>
    <row r="10" spans="1:6" ht="15" customHeight="1" x14ac:dyDescent="0.3">
      <c r="A10" s="6" t="str">
        <f>Donnees!A10</f>
        <v>E7</v>
      </c>
      <c r="B10" s="8">
        <f>IF(Bareme!$C$4="BINAIRE",Donnees!B10*Bareme!$D$4,Donnees!B10)</f>
        <v>4</v>
      </c>
      <c r="C10" s="8">
        <f>IF(Bareme!$C$5="BINAIRE",Donnees!C10*Bareme!$D$5,Donnees!C10)</f>
        <v>10</v>
      </c>
      <c r="D10" s="8">
        <f>IF(Bareme!$C$6="BINAIRE",Donnees!D10*Bareme!$D$6,Donnees!D10)</f>
        <v>2</v>
      </c>
      <c r="E10" s="8">
        <f>IF(Bareme!$C$7="BINAIRE",Donnees!E10*Bareme!$D$7,Donnees!E10)</f>
        <v>4</v>
      </c>
      <c r="F10" s="8">
        <f t="shared" si="0"/>
        <v>20</v>
      </c>
    </row>
    <row r="11" spans="1:6" ht="15" customHeight="1" x14ac:dyDescent="0.3">
      <c r="A11" s="6" t="str">
        <f>Donnees!A11</f>
        <v>E8</v>
      </c>
      <c r="B11" s="8">
        <f>IF(Bareme!$C$4="BINAIRE",Donnees!B11*Bareme!$D$4,Donnees!B11)</f>
        <v>0</v>
      </c>
      <c r="C11" s="8">
        <f>IF(Bareme!$C$5="BINAIRE",Donnees!C11*Bareme!$D$5,Donnees!C11)</f>
        <v>3</v>
      </c>
      <c r="D11" s="8">
        <f>IF(Bareme!$C$6="BINAIRE",Donnees!D11*Bareme!$D$6,Donnees!D11)</f>
        <v>0</v>
      </c>
      <c r="E11" s="8">
        <f>IF(Bareme!$C$7="BINAIRE",Donnees!E11*Bareme!$D$7,Donnees!E11)</f>
        <v>2</v>
      </c>
      <c r="F11" s="8">
        <f t="shared" si="0"/>
        <v>5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7"/>
  <sheetViews>
    <sheetView zoomScaleNormal="100" workbookViewId="0">
      <selection sqref="A1:E1"/>
    </sheetView>
  </sheetViews>
  <sheetFormatPr baseColWidth="10" defaultColWidth="8.6640625" defaultRowHeight="14.4" x14ac:dyDescent="0.3"/>
  <cols>
    <col min="1" max="1" width="10" style="3" customWidth="1"/>
    <col min="2" max="2" width="18" style="3" customWidth="1"/>
    <col min="3" max="3" width="15.77734375" style="3" customWidth="1"/>
    <col min="4" max="4" width="20" style="3" customWidth="1"/>
    <col min="5" max="5" width="27.21875" style="3" customWidth="1"/>
  </cols>
  <sheetData>
    <row r="1" spans="1:5" ht="15" customHeight="1" x14ac:dyDescent="0.3">
      <c r="A1" s="1" t="s">
        <v>40</v>
      </c>
      <c r="B1" s="1"/>
      <c r="C1" s="1"/>
      <c r="D1" s="1"/>
      <c r="E1" s="1"/>
    </row>
    <row r="3" spans="1:5" ht="15" customHeight="1" x14ac:dyDescent="0.3">
      <c r="A3" s="4" t="s">
        <v>1</v>
      </c>
      <c r="B3" s="4" t="s">
        <v>41</v>
      </c>
      <c r="C3" s="4" t="s">
        <v>3</v>
      </c>
      <c r="D3" s="4" t="s">
        <v>42</v>
      </c>
      <c r="E3" s="4" t="s">
        <v>43</v>
      </c>
    </row>
    <row r="4" spans="1:5" ht="15" customHeight="1" x14ac:dyDescent="0.3">
      <c r="A4" s="6">
        <v>1</v>
      </c>
      <c r="B4" s="8">
        <f>AVERAGE(Donnees!B4:B11)</f>
        <v>0.625</v>
      </c>
      <c r="C4" s="8" t="str">
        <f>Bareme!C4</f>
        <v>BINAIRE</v>
      </c>
      <c r="D4" s="8">
        <f>IF(Bareme!C4="BINAIRE",1,Bareme!E4)</f>
        <v>1</v>
      </c>
      <c r="E4" s="8">
        <f>B4/D4</f>
        <v>0.625</v>
      </c>
    </row>
    <row r="5" spans="1:5" ht="15" customHeight="1" x14ac:dyDescent="0.3">
      <c r="A5" s="6">
        <v>2</v>
      </c>
      <c r="B5" s="8">
        <f>AVERAGE(Donnees!C4:C11)</f>
        <v>6.5</v>
      </c>
      <c r="C5" s="8" t="str">
        <f>Bareme!C5</f>
        <v>NUMERIQUE</v>
      </c>
      <c r="D5" s="8">
        <f>IF(Bareme!C5="BINAIRE",1,Bareme!E5)</f>
        <v>10</v>
      </c>
      <c r="E5" s="8">
        <f>B5/D5</f>
        <v>0.65</v>
      </c>
    </row>
    <row r="6" spans="1:5" ht="15" customHeight="1" x14ac:dyDescent="0.3">
      <c r="A6" s="6">
        <v>3</v>
      </c>
      <c r="B6" s="8">
        <f>AVERAGE(Donnees!D4:D11)</f>
        <v>0.625</v>
      </c>
      <c r="C6" s="8" t="str">
        <f>Bareme!C6</f>
        <v>BINAIRE</v>
      </c>
      <c r="D6" s="8">
        <f>IF(Bareme!C6="BINAIRE",1,Bareme!E6)</f>
        <v>1</v>
      </c>
      <c r="E6" s="8">
        <f>B6/D6</f>
        <v>0.625</v>
      </c>
    </row>
    <row r="7" spans="1:5" ht="15" customHeight="1" x14ac:dyDescent="0.3">
      <c r="A7" s="6">
        <v>4</v>
      </c>
      <c r="B7" s="8">
        <f>AVERAGE(Donnees!E4:E11)</f>
        <v>2.75</v>
      </c>
      <c r="C7" s="8" t="str">
        <f>Bareme!C7</f>
        <v>NUMERIQUE</v>
      </c>
      <c r="D7" s="8">
        <f>IF(Bareme!C7="BINAIRE",1,Bareme!E7)</f>
        <v>4</v>
      </c>
      <c r="E7" s="8">
        <f>B7/D7</f>
        <v>0.6875</v>
      </c>
    </row>
  </sheetData>
  <mergeCells count="1">
    <mergeCell ref="A1:E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6"/>
  <sheetViews>
    <sheetView zoomScaleNormal="100" workbookViewId="0">
      <selection sqref="A1:F1"/>
    </sheetView>
  </sheetViews>
  <sheetFormatPr baseColWidth="10" defaultColWidth="8.6640625" defaultRowHeight="14.4" x14ac:dyDescent="0.3"/>
  <cols>
    <col min="1" max="1" width="10" style="3" customWidth="1"/>
    <col min="2" max="3" width="26" style="3" customWidth="1"/>
    <col min="4" max="4" width="12" style="3" customWidth="1"/>
  </cols>
  <sheetData>
    <row r="1" spans="1:6" ht="15" customHeight="1" x14ac:dyDescent="0.3">
      <c r="A1" s="1" t="s">
        <v>44</v>
      </c>
      <c r="B1" s="1"/>
      <c r="C1" s="1"/>
      <c r="D1" s="1"/>
      <c r="E1" s="1"/>
      <c r="F1" s="1"/>
    </row>
    <row r="3" spans="1:6" ht="15" customHeight="1" x14ac:dyDescent="0.3">
      <c r="A3" s="4" t="s">
        <v>1</v>
      </c>
      <c r="B3" s="4" t="s">
        <v>45</v>
      </c>
      <c r="C3" s="4" t="s">
        <v>46</v>
      </c>
      <c r="D3" s="4" t="s">
        <v>47</v>
      </c>
    </row>
    <row r="4" spans="1:6" ht="15" customHeight="1" x14ac:dyDescent="0.3">
      <c r="A4" s="6">
        <v>1</v>
      </c>
      <c r="B4" s="6" t="s">
        <v>48</v>
      </c>
      <c r="C4" s="6" t="s">
        <v>49</v>
      </c>
      <c r="D4" s="8">
        <f>CORREL(Contributions!B4:B11,B9:B16)</f>
        <v>3.3058980245364314E-2</v>
      </c>
    </row>
    <row r="5" spans="1:6" ht="15" customHeight="1" x14ac:dyDescent="0.3">
      <c r="A5" s="6">
        <v>2</v>
      </c>
      <c r="B5" s="6" t="s">
        <v>50</v>
      </c>
      <c r="C5" s="6" t="s">
        <v>51</v>
      </c>
      <c r="D5" s="8">
        <f>CORREL(Contributions!C4:C11,C9:C16)</f>
        <v>0.62994078834871203</v>
      </c>
    </row>
    <row r="6" spans="1:6" ht="15" customHeight="1" x14ac:dyDescent="0.3">
      <c r="A6" s="6">
        <v>3</v>
      </c>
      <c r="B6" s="6" t="s">
        <v>52</v>
      </c>
      <c r="C6" s="6" t="s">
        <v>53</v>
      </c>
      <c r="D6" s="8">
        <f>CORREL(Contributions!D4:D11,D9:D16)</f>
        <v>0.48434343544519759</v>
      </c>
    </row>
    <row r="7" spans="1:6" ht="15" customHeight="1" x14ac:dyDescent="0.3">
      <c r="A7" s="9">
        <v>4</v>
      </c>
      <c r="B7" s="6" t="s">
        <v>54</v>
      </c>
      <c r="C7" s="6" t="s">
        <v>55</v>
      </c>
      <c r="D7" s="8">
        <f>CORREL(Contributions!E4:E11,E9:E16)</f>
        <v>0.34879055774945689</v>
      </c>
    </row>
    <row r="8" spans="1:6" ht="15" customHeight="1" x14ac:dyDescent="0.3">
      <c r="A8" s="4" t="s">
        <v>21</v>
      </c>
      <c r="B8" s="4" t="s">
        <v>56</v>
      </c>
      <c r="C8" s="4" t="s">
        <v>57</v>
      </c>
      <c r="D8" s="4" t="s">
        <v>58</v>
      </c>
      <c r="E8" s="4" t="s">
        <v>59</v>
      </c>
    </row>
    <row r="9" spans="1:6" ht="15" customHeight="1" x14ac:dyDescent="0.3">
      <c r="A9" s="6" t="str">
        <f>Contributions!A4</f>
        <v>E1</v>
      </c>
      <c r="B9" s="8">
        <f>Contributions!$F$4-Contributions!B4</f>
        <v>14</v>
      </c>
      <c r="C9" s="8">
        <f>Contributions!$F$4-Contributions!C4</f>
        <v>10</v>
      </c>
      <c r="D9" s="8">
        <f>Contributions!$F$4-Contributions!D4</f>
        <v>16</v>
      </c>
      <c r="E9" s="8">
        <f>Contributions!$F$4-Contributions!E4</f>
        <v>14</v>
      </c>
    </row>
    <row r="10" spans="1:6" ht="15" customHeight="1" x14ac:dyDescent="0.3">
      <c r="A10" s="6" t="str">
        <f>Contributions!A5</f>
        <v>E2</v>
      </c>
      <c r="B10" s="8">
        <f>Contributions!$F$5-Contributions!B5</f>
        <v>8</v>
      </c>
      <c r="C10" s="8">
        <f>Contributions!$F$5-Contributions!C5</f>
        <v>6</v>
      </c>
      <c r="D10" s="8">
        <f>Contributions!$F$5-Contributions!D5</f>
        <v>12</v>
      </c>
      <c r="E10" s="8">
        <f>Contributions!$F$5-Contributions!E5</f>
        <v>10</v>
      </c>
    </row>
    <row r="11" spans="1:6" ht="15" customHeight="1" x14ac:dyDescent="0.3">
      <c r="A11" s="6" t="str">
        <f>Contributions!A6</f>
        <v>E3</v>
      </c>
      <c r="B11" s="8">
        <f>Contributions!$F$6-Contributions!B6</f>
        <v>15</v>
      </c>
      <c r="C11" s="8">
        <f>Contributions!$F$6-Contributions!C6</f>
        <v>6</v>
      </c>
      <c r="D11" s="8">
        <f>Contributions!$F$6-Contributions!D6</f>
        <v>13</v>
      </c>
      <c r="E11" s="8">
        <f>Contributions!$F$6-Contributions!E6</f>
        <v>11</v>
      </c>
    </row>
    <row r="12" spans="1:6" ht="15" customHeight="1" x14ac:dyDescent="0.3">
      <c r="A12" s="6" t="str">
        <f>Contributions!A7</f>
        <v>E4</v>
      </c>
      <c r="B12" s="8">
        <f>Contributions!$F$7-Contributions!B7</f>
        <v>9</v>
      </c>
      <c r="C12" s="8">
        <f>Contributions!$F$7-Contributions!C7</f>
        <v>8</v>
      </c>
      <c r="D12" s="8">
        <f>Contributions!$F$7-Contributions!D7</f>
        <v>11</v>
      </c>
      <c r="E12" s="8">
        <f>Contributions!$F$7-Contributions!E7</f>
        <v>11</v>
      </c>
    </row>
    <row r="13" spans="1:6" ht="15" customHeight="1" x14ac:dyDescent="0.3">
      <c r="A13" s="6" t="str">
        <f>Contributions!A8</f>
        <v>E5</v>
      </c>
      <c r="B13" s="8">
        <f>Contributions!$F$8-Contributions!B8</f>
        <v>11</v>
      </c>
      <c r="C13" s="8">
        <f>Contributions!$F$8-Contributions!C8</f>
        <v>4</v>
      </c>
      <c r="D13" s="8">
        <f>Contributions!$F$8-Contributions!D8</f>
        <v>11</v>
      </c>
      <c r="E13" s="8">
        <f>Contributions!$F$8-Contributions!E8</f>
        <v>7</v>
      </c>
    </row>
    <row r="14" spans="1:6" ht="15" customHeight="1" x14ac:dyDescent="0.3">
      <c r="A14" s="6" t="str">
        <f>Contributions!A9</f>
        <v>E6</v>
      </c>
      <c r="B14" s="8">
        <f>Contributions!$F$9-Contributions!B9</f>
        <v>6</v>
      </c>
      <c r="C14" s="8">
        <f>Contributions!$F$9-Contributions!C9</f>
        <v>6</v>
      </c>
      <c r="D14" s="8">
        <f>Contributions!$F$9-Contributions!D9</f>
        <v>8</v>
      </c>
      <c r="E14" s="8">
        <f>Contributions!$F$9-Contributions!E9</f>
        <v>10</v>
      </c>
    </row>
    <row r="15" spans="1:6" ht="15" customHeight="1" x14ac:dyDescent="0.3">
      <c r="A15" s="6" t="str">
        <f>Contributions!A10</f>
        <v>E7</v>
      </c>
      <c r="B15" s="8">
        <f>Contributions!$F$10-Contributions!B10</f>
        <v>16</v>
      </c>
      <c r="C15" s="8">
        <f>Contributions!$F$10-Contributions!C10</f>
        <v>10</v>
      </c>
      <c r="D15" s="8">
        <f>Contributions!$F$10-Contributions!D10</f>
        <v>18</v>
      </c>
      <c r="E15" s="8">
        <f>Contributions!$F$10-Contributions!E10</f>
        <v>16</v>
      </c>
    </row>
    <row r="16" spans="1:6" ht="15" customHeight="1" x14ac:dyDescent="0.3">
      <c r="A16" s="6" t="str">
        <f>Contributions!A11</f>
        <v>E8</v>
      </c>
      <c r="B16" s="8">
        <f>Contributions!$F$11-Contributions!B11</f>
        <v>5</v>
      </c>
      <c r="C16" s="8">
        <f>Contributions!$F$11-Contributions!C11</f>
        <v>2</v>
      </c>
      <c r="D16" s="8">
        <f>Contributions!$F$11-Contributions!D11</f>
        <v>5</v>
      </c>
      <c r="E16" s="8">
        <f>Contributions!$F$11-Contributions!E11</f>
        <v>3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2"/>
  <sheetViews>
    <sheetView zoomScaleNormal="100" workbookViewId="0">
      <selection sqref="A1:C1"/>
    </sheetView>
  </sheetViews>
  <sheetFormatPr baseColWidth="10" defaultColWidth="8.6640625" defaultRowHeight="14.4" x14ac:dyDescent="0.3"/>
  <cols>
    <col min="1" max="1" width="27" style="3" customWidth="1"/>
    <col min="2" max="2" width="26" style="3" customWidth="1"/>
    <col min="3" max="3" width="46.33203125" customWidth="1"/>
  </cols>
  <sheetData>
    <row r="1" spans="1:3" ht="15" customHeight="1" x14ac:dyDescent="0.3">
      <c r="A1" s="1" t="s">
        <v>60</v>
      </c>
      <c r="B1" s="1"/>
      <c r="C1" s="1"/>
    </row>
    <row r="3" spans="1:3" ht="15" customHeight="1" x14ac:dyDescent="0.3">
      <c r="A3" s="4" t="s">
        <v>1</v>
      </c>
      <c r="B3" s="4" t="s">
        <v>61</v>
      </c>
    </row>
    <row r="4" spans="1:3" ht="15" customHeight="1" x14ac:dyDescent="0.3">
      <c r="A4" s="6">
        <v>1</v>
      </c>
      <c r="B4" s="8">
        <f>_xlfn.VAR.S(Contributions!B4:B11)</f>
        <v>4.2857142857142856</v>
      </c>
    </row>
    <row r="5" spans="1:3" ht="15" customHeight="1" x14ac:dyDescent="0.3">
      <c r="A5" s="6">
        <v>2</v>
      </c>
      <c r="B5" s="8">
        <f>_xlfn.VAR.S(Contributions!C4:C11)</f>
        <v>6</v>
      </c>
    </row>
    <row r="6" spans="1:3" ht="15" customHeight="1" x14ac:dyDescent="0.3">
      <c r="A6" s="6">
        <v>3</v>
      </c>
      <c r="B6" s="8">
        <f>_xlfn.VAR.S(Contributions!D4:D11)</f>
        <v>1.0714285714285714</v>
      </c>
    </row>
    <row r="7" spans="1:3" ht="15" customHeight="1" x14ac:dyDescent="0.3">
      <c r="A7" s="6">
        <v>4</v>
      </c>
      <c r="B7" s="8">
        <f>_xlfn.VAR.S(Contributions!E4:E11)</f>
        <v>2.2142857142857144</v>
      </c>
    </row>
    <row r="9" spans="1:3" ht="15" customHeight="1" x14ac:dyDescent="0.3">
      <c r="A9" s="9" t="s">
        <v>62</v>
      </c>
      <c r="B9" s="5">
        <v>4</v>
      </c>
    </row>
    <row r="10" spans="1:3" ht="15" customHeight="1" x14ac:dyDescent="0.3">
      <c r="A10" s="9" t="s">
        <v>63</v>
      </c>
      <c r="B10" s="8">
        <f>SUM(B4:B7)</f>
        <v>13.571428571428569</v>
      </c>
    </row>
    <row r="11" spans="1:3" ht="15" customHeight="1" x14ac:dyDescent="0.3">
      <c r="A11" s="9" t="s">
        <v>64</v>
      </c>
      <c r="B11" s="8">
        <f>_xlfn.VAR.S(Contributions!F4:F11)</f>
        <v>22.285714285714285</v>
      </c>
    </row>
    <row r="12" spans="1:3" ht="15" customHeight="1" x14ac:dyDescent="0.3">
      <c r="A12" s="9" t="s">
        <v>65</v>
      </c>
      <c r="B12" s="10">
        <f>(B9/(B9-1))*(1-(B10/B11))</f>
        <v>0.5213675213675214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8"/>
  <sheetViews>
    <sheetView zoomScaleNormal="100" workbookViewId="0">
      <selection sqref="A1:D1"/>
    </sheetView>
  </sheetViews>
  <sheetFormatPr baseColWidth="10" defaultColWidth="8.6640625" defaultRowHeight="14.4" x14ac:dyDescent="0.3"/>
  <cols>
    <col min="1" max="1" width="24" style="3" customWidth="1"/>
    <col min="2" max="2" width="14" style="3" customWidth="1"/>
    <col min="3" max="3" width="5" style="3" customWidth="1"/>
    <col min="4" max="4" width="47.44140625" style="3" customWidth="1"/>
  </cols>
  <sheetData>
    <row r="1" spans="1:4" ht="15.75" customHeight="1" x14ac:dyDescent="0.3">
      <c r="A1" s="2" t="s">
        <v>66</v>
      </c>
      <c r="B1" s="2"/>
      <c r="C1" s="2"/>
      <c r="D1" s="2"/>
    </row>
    <row r="3" spans="1:4" ht="15" customHeight="1" x14ac:dyDescent="0.3">
      <c r="A3" s="7" t="s">
        <v>67</v>
      </c>
    </row>
    <row r="4" spans="1:4" ht="15" customHeight="1" x14ac:dyDescent="0.3">
      <c r="A4" s="4" t="s">
        <v>1</v>
      </c>
      <c r="B4" s="4" t="s">
        <v>43</v>
      </c>
    </row>
    <row r="5" spans="1:4" ht="15" customHeight="1" x14ac:dyDescent="0.3">
      <c r="A5" s="6">
        <v>1</v>
      </c>
      <c r="B5" s="8">
        <f>Difficulte!E4</f>
        <v>0.625</v>
      </c>
    </row>
    <row r="6" spans="1:4" ht="15" customHeight="1" x14ac:dyDescent="0.3">
      <c r="A6" s="6">
        <v>2</v>
      </c>
      <c r="B6" s="8">
        <f>Difficulte!E5</f>
        <v>0.65</v>
      </c>
    </row>
    <row r="7" spans="1:4" ht="15" customHeight="1" x14ac:dyDescent="0.3">
      <c r="A7" s="6">
        <v>3</v>
      </c>
      <c r="B7" s="8">
        <f>Difficulte!E6</f>
        <v>0.625</v>
      </c>
    </row>
    <row r="8" spans="1:4" ht="15" customHeight="1" x14ac:dyDescent="0.3">
      <c r="A8" s="6">
        <v>4</v>
      </c>
      <c r="B8" s="8">
        <f>Difficulte!E7</f>
        <v>0.6875</v>
      </c>
    </row>
    <row r="10" spans="1:4" ht="15" customHeight="1" x14ac:dyDescent="0.3">
      <c r="A10" s="7" t="s">
        <v>68</v>
      </c>
    </row>
    <row r="11" spans="1:4" ht="15" customHeight="1" x14ac:dyDescent="0.3">
      <c r="A11" s="4" t="s">
        <v>1</v>
      </c>
      <c r="B11" s="4" t="s">
        <v>69</v>
      </c>
    </row>
    <row r="12" spans="1:4" ht="15" customHeight="1" x14ac:dyDescent="0.3">
      <c r="A12" s="6">
        <v>1</v>
      </c>
      <c r="B12" s="8">
        <f>Discrimination!D4</f>
        <v>3.3058980245364314E-2</v>
      </c>
    </row>
    <row r="13" spans="1:4" ht="15" customHeight="1" x14ac:dyDescent="0.3">
      <c r="A13" s="6">
        <v>2</v>
      </c>
      <c r="B13" s="8">
        <f>Discrimination!D5</f>
        <v>0.62994078834871203</v>
      </c>
    </row>
    <row r="14" spans="1:4" ht="15" customHeight="1" x14ac:dyDescent="0.3">
      <c r="A14" s="6">
        <v>3</v>
      </c>
      <c r="B14" s="8">
        <f>Discrimination!D6</f>
        <v>0.48434343544519759</v>
      </c>
    </row>
    <row r="15" spans="1:4" ht="15" customHeight="1" x14ac:dyDescent="0.3">
      <c r="A15" s="6">
        <v>4</v>
      </c>
      <c r="B15" s="8">
        <f>Discrimination!D7</f>
        <v>0.34879055774945689</v>
      </c>
    </row>
    <row r="18" spans="1:2" ht="15" customHeight="1" x14ac:dyDescent="0.3">
      <c r="A18" s="7" t="s">
        <v>70</v>
      </c>
      <c r="B18" s="11">
        <f>AlphaCronbach!B12</f>
        <v>0.5213675213675214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Bareme</vt:lpstr>
      <vt:lpstr>Donnees</vt:lpstr>
      <vt:lpstr>Contributions</vt:lpstr>
      <vt:lpstr>Difficulte</vt:lpstr>
      <vt:lpstr>Discrimination</vt:lpstr>
      <vt:lpstr>AlphaCronbach</vt:lpstr>
      <vt:lpstr>Synthese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Feten Ben Moncef</cp:lastModifiedBy>
  <cp:revision>0</cp:revision>
  <dcterms:created xsi:type="dcterms:W3CDTF">2026-08-26T00:01:49Z</dcterms:created>
  <dcterms:modified xsi:type="dcterms:W3CDTF">2026-08-26T00:34:54Z</dcterms:modified>
  <dc:language>en-US</dc:language>
</cp:coreProperties>
</file>