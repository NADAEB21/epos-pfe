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F0BADC8-7C0D-4DFC-B52C-56E0974CEC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Vue-Synthese" sheetId="1" r:id="rId1"/>
    <sheet name="Bareme" sheetId="2" r:id="rId2"/>
    <sheet name="Donnees" sheetId="3" r:id="rId3"/>
    <sheet name="Contributions" sheetId="4" r:id="rId4"/>
    <sheet name="Difficulte" sheetId="5" r:id="rId5"/>
    <sheet name="Discrimination" sheetId="6" r:id="rId6"/>
    <sheet name="AlphaCronbach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5" l="1"/>
  <c r="C7" i="5"/>
  <c r="B7" i="5"/>
  <c r="E7" i="5" s="1"/>
  <c r="E14" i="1" s="1"/>
  <c r="D6" i="5"/>
  <c r="C6" i="5"/>
  <c r="B6" i="5"/>
  <c r="E6" i="5" s="1"/>
  <c r="D14" i="1" s="1"/>
  <c r="D5" i="5"/>
  <c r="C5" i="5"/>
  <c r="B5" i="5"/>
  <c r="E5" i="5" s="1"/>
  <c r="C14" i="1" s="1"/>
  <c r="D4" i="5"/>
  <c r="C4" i="5"/>
  <c r="B4" i="5"/>
  <c r="E4" i="5" s="1"/>
  <c r="B14" i="1" s="1"/>
  <c r="E11" i="4"/>
  <c r="D11" i="4"/>
  <c r="C11" i="4"/>
  <c r="B11" i="4"/>
  <c r="F11" i="4" s="1"/>
  <c r="A11" i="4"/>
  <c r="A16" i="6" s="1"/>
  <c r="E10" i="4"/>
  <c r="D10" i="4"/>
  <c r="C10" i="4"/>
  <c r="B10" i="4"/>
  <c r="F10" i="4" s="1"/>
  <c r="A10" i="4"/>
  <c r="A15" i="6" s="1"/>
  <c r="E9" i="4"/>
  <c r="D9" i="4"/>
  <c r="C9" i="4"/>
  <c r="B9" i="4"/>
  <c r="F9" i="4" s="1"/>
  <c r="A9" i="4"/>
  <c r="A14" i="6" s="1"/>
  <c r="E8" i="4"/>
  <c r="D8" i="4"/>
  <c r="C8" i="4"/>
  <c r="B8" i="4"/>
  <c r="F8" i="4" s="1"/>
  <c r="A8" i="4"/>
  <c r="A13" i="6" s="1"/>
  <c r="E7" i="4"/>
  <c r="D7" i="4"/>
  <c r="C7" i="4"/>
  <c r="B7" i="4"/>
  <c r="F7" i="4" s="1"/>
  <c r="A7" i="4"/>
  <c r="A12" i="6" s="1"/>
  <c r="E6" i="4"/>
  <c r="D6" i="4"/>
  <c r="C6" i="4"/>
  <c r="B6" i="4"/>
  <c r="F6" i="4" s="1"/>
  <c r="A6" i="4"/>
  <c r="A11" i="6" s="1"/>
  <c r="E5" i="4"/>
  <c r="D5" i="4"/>
  <c r="C5" i="4"/>
  <c r="B5" i="4"/>
  <c r="F5" i="4" s="1"/>
  <c r="A5" i="4"/>
  <c r="A10" i="6" s="1"/>
  <c r="E4" i="4"/>
  <c r="B7" i="7" s="1"/>
  <c r="D4" i="4"/>
  <c r="B6" i="7" s="1"/>
  <c r="C4" i="4"/>
  <c r="B5" i="7" s="1"/>
  <c r="B4" i="4"/>
  <c r="F4" i="4" s="1"/>
  <c r="A4" i="4"/>
  <c r="A9" i="6" s="1"/>
  <c r="I12" i="1"/>
  <c r="H12" i="1"/>
  <c r="G12" i="1"/>
  <c r="F12" i="1"/>
  <c r="E12" i="1"/>
  <c r="D12" i="1"/>
  <c r="C12" i="1"/>
  <c r="B12" i="1"/>
  <c r="A12" i="1"/>
  <c r="I11" i="1"/>
  <c r="H11" i="1"/>
  <c r="G11" i="1"/>
  <c r="F11" i="1"/>
  <c r="E11" i="1"/>
  <c r="D11" i="1"/>
  <c r="C11" i="1"/>
  <c r="B11" i="1"/>
  <c r="A11" i="1"/>
  <c r="I10" i="1"/>
  <c r="H10" i="1"/>
  <c r="G10" i="1"/>
  <c r="F10" i="1"/>
  <c r="E10" i="1"/>
  <c r="D10" i="1"/>
  <c r="C10" i="1"/>
  <c r="B10" i="1"/>
  <c r="A10" i="1"/>
  <c r="I9" i="1"/>
  <c r="H9" i="1"/>
  <c r="G9" i="1"/>
  <c r="F9" i="1"/>
  <c r="E9" i="1"/>
  <c r="D9" i="1"/>
  <c r="C9" i="1"/>
  <c r="B9" i="1"/>
  <c r="A9" i="1"/>
  <c r="I8" i="1"/>
  <c r="H8" i="1"/>
  <c r="G8" i="1"/>
  <c r="F8" i="1"/>
  <c r="E8" i="1"/>
  <c r="D8" i="1"/>
  <c r="C8" i="1"/>
  <c r="B8" i="1"/>
  <c r="A8" i="1"/>
  <c r="I7" i="1"/>
  <c r="H7" i="1"/>
  <c r="G7" i="1"/>
  <c r="F7" i="1"/>
  <c r="E7" i="1"/>
  <c r="D7" i="1"/>
  <c r="C7" i="1"/>
  <c r="B7" i="1"/>
  <c r="A7" i="1"/>
  <c r="I6" i="1"/>
  <c r="H6" i="1"/>
  <c r="G6" i="1"/>
  <c r="F6" i="1"/>
  <c r="E6" i="1"/>
  <c r="D6" i="1"/>
  <c r="C6" i="1"/>
  <c r="B6" i="1"/>
  <c r="A6" i="1"/>
  <c r="I5" i="1"/>
  <c r="H5" i="1"/>
  <c r="G5" i="1"/>
  <c r="F5" i="1"/>
  <c r="E5" i="1"/>
  <c r="E13" i="1" s="1"/>
  <c r="D5" i="1"/>
  <c r="D13" i="1" s="1"/>
  <c r="C5" i="1"/>
  <c r="C13" i="1" s="1"/>
  <c r="B5" i="1"/>
  <c r="B13" i="1" s="1"/>
  <c r="A5" i="1"/>
  <c r="D12" i="6" l="1"/>
  <c r="J8" i="1"/>
  <c r="C12" i="6"/>
  <c r="B12" i="6"/>
  <c r="E12" i="6"/>
  <c r="D16" i="6"/>
  <c r="J12" i="1"/>
  <c r="C16" i="6"/>
  <c r="B16" i="6"/>
  <c r="E16" i="6"/>
  <c r="C9" i="6"/>
  <c r="D5" i="6" s="1"/>
  <c r="C15" i="1" s="1"/>
  <c r="B11" i="7"/>
  <c r="B9" i="6"/>
  <c r="E9" i="6"/>
  <c r="J5" i="1"/>
  <c r="D9" i="6"/>
  <c r="C13" i="6"/>
  <c r="B13" i="6"/>
  <c r="E13" i="6"/>
  <c r="J9" i="1"/>
  <c r="D13" i="6"/>
  <c r="B10" i="6"/>
  <c r="J6" i="1"/>
  <c r="E10" i="6"/>
  <c r="D7" i="6" s="1"/>
  <c r="E15" i="1" s="1"/>
  <c r="D10" i="6"/>
  <c r="C10" i="6"/>
  <c r="B14" i="6"/>
  <c r="J10" i="1"/>
  <c r="E14" i="6"/>
  <c r="D14" i="6"/>
  <c r="C14" i="6"/>
  <c r="E11" i="6"/>
  <c r="D11" i="6"/>
  <c r="C11" i="6"/>
  <c r="J7" i="1"/>
  <c r="B11" i="6"/>
  <c r="D4" i="6" s="1"/>
  <c r="B15" i="1" s="1"/>
  <c r="E15" i="6"/>
  <c r="D15" i="6"/>
  <c r="C15" i="6"/>
  <c r="J11" i="1"/>
  <c r="B15" i="6"/>
  <c r="B4" i="7"/>
  <c r="B10" i="7" s="1"/>
  <c r="B12" i="7" s="1"/>
  <c r="J14" i="1" s="1"/>
  <c r="D6" i="6"/>
  <c r="D15" i="1" s="1"/>
</calcChain>
</file>

<file path=xl/sharedStrings.xml><?xml version="1.0" encoding="utf-8"?>
<sst xmlns="http://schemas.openxmlformats.org/spreadsheetml/2006/main" count="102" uniqueCount="92">
  <si>
    <t>F3 — Fixture de Vérité (Ground Truth) — #358</t>
  </si>
  <si>
    <t>DONNÉES BRUTES (v)</t>
  </si>
  <si>
    <t>CONTRIBUTIONS (w)</t>
  </si>
  <si>
    <t>FINAL</t>
  </si>
  <si>
    <t>Étudiant</t>
  </si>
  <si>
    <t>C1
Binaire</t>
  </si>
  <si>
    <t>C2
Num.</t>
  </si>
  <si>
    <t>C3
Binaire</t>
  </si>
  <si>
    <t>C4
Num.</t>
  </si>
  <si>
    <t>C1
v × 4</t>
  </si>
  <si>
    <t>C2
v</t>
  </si>
  <si>
    <t>C3
v × 2</t>
  </si>
  <si>
    <t>C4
v</t>
  </si>
  <si>
    <t>Total</t>
  </si>
  <si>
    <t>MOYENNE</t>
  </si>
  <si>
    <t>Calculs de fiabilité (ddof=1) — voir feuilles Difficulte / Discrimination / AlphaCronbach</t>
  </si>
  <si>
    <t>DIFFICULTÉ (p)</t>
  </si>
  <si>
    <t>ALPHA DE CRONBACH</t>
  </si>
  <si>
    <t>DISCRI. (r)</t>
  </si>
  <si>
    <t>r = CORREL( contribution_item ; total − contribution_item )</t>
  </si>
  <si>
    <t>Note méthodologique (contrat #358, app/stats/engine.py)</t>
  </si>
  <si>
    <t>1)  Variances ÉCHANTILLON (ddof = 1) : au tableur, VAR.S() — jamais VAR.P(). C'est la formule utilisée dans la feuille AlphaCronbach.</t>
  </si>
  <si>
    <t>2)  contribution(item) = valeur × pondération si le critère est BINAIRE ; valeur brute si NUMÉRIQUE. C'est l'arithmétique exacte de ExamItemSnapshot.weigh côté scoring — la pondération d'un critère NUMÉRIQUE plafonne, elle ne multiplie pas.</t>
  </si>
  <si>
    <t>3)  8 étudiants seulement : ce jeu vérifie les FORMULES du moteur (engine.py), pas le contrat de refus « effectif insuffisant » — celui-ci a ses propres tests (test_engine_*.py) qui exercent les seuils de production (n≥10, n≥15…).</t>
  </si>
  <si>
    <t>4)  Chaque cellule ci-dessus est une FORMULE (AVERAGE, CORREL, VAR.S) qui pointe vers les feuilles Donnees / Contributions / Difficulte / Discrimination / AlphaCronbach : aucune valeur n'est saisie à la main dans ce tableau de synthèse — il se recalcule si les données brutes changent.</t>
  </si>
  <si>
    <t>5)  Le fixture JSON consommé par tests/test_fixtures_f3.py (ai-service/tests/fixtures/f3/) reprend VERBATIM les 9 valeurs de ce classeur (4 p, 4 r, 1 α), tolérance ±0.005.</t>
  </si>
  <si>
    <t>F3 — Fixtures de vérité (#358) — barème des 4 critères</t>
  </si>
  <si>
    <t>item_id</t>
  </si>
  <si>
    <t>libellé</t>
  </si>
  <si>
    <t>type</t>
  </si>
  <si>
    <t>ponderation</t>
  </si>
  <si>
    <t>valeur_max</t>
  </si>
  <si>
    <t>note (si BINAIRE : pondération = points ; si NUMERIQUE : barème 0..valeur_max)</t>
  </si>
  <si>
    <t>Hygiène des mains</t>
  </si>
  <si>
    <t>BINAIRE</t>
  </si>
  <si>
    <t>Fait / non fait — contribution = valeur × pondération</t>
  </si>
  <si>
    <t>Calcul de dose</t>
  </si>
  <si>
    <t>NUMERIQUE</t>
  </si>
  <si>
    <t>Valeur brute 0..10 — contribution = valeur (la pondération plafonne, ne multiplie pas)</t>
  </si>
  <si>
    <t>Vérification allergies</t>
  </si>
  <si>
    <t>Communication patient</t>
  </si>
  <si>
    <t>Valeur brute 0..4 — contribution = valeur</t>
  </si>
  <si>
    <t>Note méthodologique (contrat #358, engine.py) :</t>
  </si>
  <si>
    <t>1) Variances ÉCHANTILLON (ddof=1) : VAR.S(), jamais VAR.P().</t>
  </si>
  <si>
    <t>2) contribution(item) = valeur × pondération si BINAIRE ; valeur brute si NUMERIQUE (même arithmétique que le scoring, ExamItemSnapshot.weigh).</t>
  </si>
  <si>
    <t>3) 8 étudiants : sous les seuils de production — on vérifie ici la FORMULE, pas le contrat de refus (qui a ses propres tests).</t>
  </si>
  <si>
    <t>Valeurs saisies (8 étudiants × 4 critères) — bleu = données d'entrée</t>
  </si>
  <si>
    <t>Etudiant</t>
  </si>
  <si>
    <t>C1 (BINAIRE)</t>
  </si>
  <si>
    <t>C2 (NUMERIQUE /10)</t>
  </si>
  <si>
    <t>C3 (BINAIRE)</t>
  </si>
  <si>
    <t>C4 (NUMERIQUE /4)</t>
  </si>
  <si>
    <t>E1</t>
  </si>
  <si>
    <t>E2</t>
  </si>
  <si>
    <t>E3</t>
  </si>
  <si>
    <t>E4</t>
  </si>
  <si>
    <t>E5</t>
  </si>
  <si>
    <t>E6</t>
  </si>
  <si>
    <t>E7</t>
  </si>
  <si>
    <t>E8</t>
  </si>
  <si>
    <t>Contributions pondérées — contribution = valeur×pondération (BINAIRE) ou valeur brute (NUMERIQUE)</t>
  </si>
  <si>
    <t>Contrib. C1</t>
  </si>
  <si>
    <t>Contrib. C2</t>
  </si>
  <si>
    <t>Contrib. C3</t>
  </si>
  <si>
    <t>Contrib. C4</t>
  </si>
  <si>
    <t>TOTAL</t>
  </si>
  <si>
    <t>Difficulté p = moyenne(valeur) / valeur_max  (BINAIRE : dénominateur 1, p = moyenne)</t>
  </si>
  <si>
    <t>moyenne(valeur)</t>
  </si>
  <si>
    <t>valeur_max effectif</t>
  </si>
  <si>
    <t>p</t>
  </si>
  <si>
    <t>Point-bisériale corrigée r = CORREL(contribution_item ; total − contribution_item)</t>
  </si>
  <si>
    <t>plage contribution</t>
  </si>
  <si>
    <t>plage reste (total - item)</t>
  </si>
  <si>
    <t>r (CORREL)</t>
  </si>
  <si>
    <t>Contributions!B4:B11</t>
  </si>
  <si>
    <t>B9:B16 (feuille reste)</t>
  </si>
  <si>
    <t>Contributions!C4:C11</t>
  </si>
  <si>
    <t>C9:C16 (feuille reste)</t>
  </si>
  <si>
    <t>Contributions!D4:D11</t>
  </si>
  <si>
    <t>D9:D16 (feuille reste)</t>
  </si>
  <si>
    <t>Contributions!E4:E11</t>
  </si>
  <si>
    <t>E9:E16 (feuille reste)</t>
  </si>
  <si>
    <t>reste C1</t>
  </si>
  <si>
    <t>reste C2</t>
  </si>
  <si>
    <t>reste C3</t>
  </si>
  <si>
    <t>reste C4</t>
  </si>
  <si>
    <t>Alpha de Cronbach = k/(k-1) x (1 - somme(var_item)/var_total)  — variances ECHANTILLON (VAR.S)</t>
  </si>
  <si>
    <t>_xlfn.VAR.S(contribution_item)</t>
  </si>
  <si>
    <t>k (nb critères)</t>
  </si>
  <si>
    <t>Somme _xlfn.VAR.S(item)</t>
  </si>
  <si>
    <t>_xlfn.VAR.S(total)</t>
  </si>
  <si>
    <t>alpha de Cronbach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</si>
</sst>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8" x14ac:knownFonts="1">
    <font>
      <sz val="11"/>
      <color theme="1"/>
      <name val="Calibri"/>
      <family val="2"/>
      <charset val="1"/>
    </font>
    <font>
      <b/>
      <sz val="14"/>
      <color rgb="FF1E293B"/>
      <name val="Arial"/>
      <charset val="1"/>
    </font>
    <font>
      <b/>
      <sz val="9"/>
      <color rgb="FF2563EB"/>
      <name val="Arial"/>
      <charset val="1"/>
    </font>
    <font>
      <b/>
      <sz val="9"/>
      <color rgb="FFD97706"/>
      <name val="Arial"/>
      <charset val="1"/>
    </font>
    <font>
      <b/>
      <sz val="9"/>
      <color rgb="FF1F5E3A"/>
      <name val="Arial"/>
      <charset val="1"/>
    </font>
    <font>
      <b/>
      <sz val="10"/>
      <color rgb="FF475569"/>
      <name val="Arial"/>
      <charset val="1"/>
    </font>
    <font>
      <b/>
      <sz val="10"/>
      <color rgb="FF1F5E3A"/>
      <name val="Arial"/>
      <charset val="1"/>
    </font>
    <font>
      <sz val="10"/>
      <color rgb="FF334155"/>
      <name val="Arial"/>
      <charset val="1"/>
    </font>
    <font>
      <b/>
      <sz val="10"/>
      <color rgb="FF1E293B"/>
      <name val="Arial"/>
      <charset val="1"/>
    </font>
    <font>
      <b/>
      <sz val="10"/>
      <color rgb="FF334155"/>
      <name val="Arial"/>
      <charset val="1"/>
    </font>
    <font>
      <i/>
      <sz val="9"/>
      <color rgb="FF64748B"/>
      <name val="Arial"/>
      <charset val="1"/>
    </font>
    <font>
      <b/>
      <sz val="11"/>
      <color rgb="FFFFFFFF"/>
      <name val="Arial"/>
      <charset val="1"/>
    </font>
    <font>
      <sz val="9.5"/>
      <color rgb="FF475569"/>
      <name val="Arial"/>
      <charset val="1"/>
    </font>
    <font>
      <b/>
      <sz val="13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sz val="11"/>
      <color rgb="FF000000"/>
      <name val="Arial"/>
      <charset val="1"/>
    </font>
    <font>
      <b/>
      <sz val="11"/>
      <color rgb="FF1F5E3A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FFFBEB"/>
        <bgColor rgb="FFFAFDFB"/>
      </patternFill>
    </fill>
    <fill>
      <patternFill patternType="solid">
        <fgColor rgb="FFF0FDF4"/>
        <bgColor rgb="FFF8FAFC"/>
      </patternFill>
    </fill>
    <fill>
      <patternFill patternType="solid">
        <fgColor rgb="FFFAFDFB"/>
        <bgColor rgb="FFFCFCFD"/>
      </patternFill>
    </fill>
    <fill>
      <patternFill patternType="solid">
        <fgColor rgb="FFFCFCFD"/>
        <bgColor rgb="FFFAFDFB"/>
      </patternFill>
    </fill>
    <fill>
      <patternFill patternType="solid">
        <fgColor rgb="FFF8FAFC"/>
        <bgColor rgb="FFFAFDFB"/>
      </patternFill>
    </fill>
    <fill>
      <patternFill patternType="solid">
        <fgColor rgb="FF1F5E3A"/>
        <bgColor rgb="FF334155"/>
      </patternFill>
    </fill>
  </fills>
  <borders count="7">
    <border>
      <left/>
      <right/>
      <top/>
      <bottom/>
      <diagonal/>
    </border>
    <border>
      <left style="thick">
        <color rgb="FF1F5E3A"/>
      </left>
      <right/>
      <top/>
      <bottom/>
      <diagonal/>
    </border>
    <border>
      <left/>
      <right style="medium">
        <color rgb="FFCBD5E1"/>
      </right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medium">
        <color rgb="FFCBD5E1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1F5E3A"/>
      </top>
      <bottom style="thin">
        <color rgb="FFE2E8F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4" fillId="5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center" vertical="center"/>
    </xf>
    <xf numFmtId="0" fontId="9" fillId="8" borderId="3" xfId="0" applyFont="1" applyFill="1" applyBorder="1"/>
    <xf numFmtId="164" fontId="9" fillId="8" borderId="3" xfId="0" applyNumberFormat="1" applyFont="1" applyFill="1" applyBorder="1" applyAlignment="1">
      <alignment horizontal="center" vertical="center"/>
    </xf>
    <xf numFmtId="0" fontId="6" fillId="0" borderId="5" xfId="0" applyFont="1" applyBorder="1"/>
    <xf numFmtId="164" fontId="11" fillId="9" borderId="5" xfId="0" applyNumberFormat="1" applyFont="1" applyFill="1" applyBorder="1" applyAlignment="1">
      <alignment horizontal="center" vertical="center"/>
    </xf>
    <xf numFmtId="165" fontId="11" fillId="9" borderId="5" xfId="0" applyNumberFormat="1" applyFont="1" applyFill="1" applyBorder="1" applyAlignment="1">
      <alignment horizontal="center" vertical="center"/>
    </xf>
    <xf numFmtId="0" fontId="6" fillId="8" borderId="3" xfId="0" applyFont="1" applyFill="1" applyBorder="1"/>
    <xf numFmtId="164" fontId="11" fillId="9" borderId="3" xfId="0" applyNumberFormat="1" applyFont="1" applyFill="1" applyBorder="1" applyAlignment="1">
      <alignment horizontal="center" vertical="center"/>
    </xf>
    <xf numFmtId="0" fontId="0" fillId="0" borderId="0" xfId="0" applyAlignment="1"/>
    <xf numFmtId="0" fontId="11" fillId="9" borderId="6" xfId="0" applyFont="1" applyFill="1" applyBorder="1" applyAlignment="1">
      <alignment horizontal="center"/>
    </xf>
    <xf numFmtId="0" fontId="14" fillId="0" borderId="6" xfId="0" applyFont="1" applyBorder="1" applyAlignment="1"/>
    <xf numFmtId="0" fontId="0" fillId="0" borderId="6" xfId="0" applyFont="1" applyBorder="1" applyAlignment="1"/>
    <xf numFmtId="0" fontId="15" fillId="0" borderId="0" xfId="0" applyFont="1" applyAlignment="1"/>
    <xf numFmtId="0" fontId="16" fillId="0" borderId="6" xfId="0" applyFont="1" applyBorder="1" applyAlignment="1"/>
    <xf numFmtId="0" fontId="15" fillId="0" borderId="6" xfId="0" applyFont="1" applyBorder="1" applyAlignment="1"/>
    <xf numFmtId="0" fontId="17" fillId="0" borderId="6" xfId="0" applyFont="1" applyBorder="1" applyAlignment="1"/>
    <xf numFmtId="0" fontId="12" fillId="0" borderId="0" xfId="0" applyFont="1" applyBorder="1" applyAlignment="1">
      <alignment horizontal="left" vertical="center" wrapText="1" indent="1"/>
    </xf>
    <xf numFmtId="0" fontId="10" fillId="8" borderId="3" xfId="0" applyFont="1" applyFill="1" applyBorder="1" applyAlignment="1">
      <alignment horizontal="left" vertical="center" indent="1"/>
    </xf>
    <xf numFmtId="0" fontId="8" fillId="2" borderId="0" xfId="0" applyFont="1" applyFill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13" fillId="0" borderId="0" xfId="0" applyFont="1" applyBorder="1" applyAlignment="1"/>
    <xf numFmtId="0" fontId="15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5E3A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F0FDF4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E2E8F0"/>
      <rgbColor rgb="FFFAFDFB"/>
      <rgbColor rgb="FFF8FAFC"/>
      <rgbColor rgb="FFFCFCFD"/>
      <rgbColor rgb="FFCC99FF"/>
      <rgbColor rgb="FFF1F5F9"/>
      <rgbColor rgb="FF2563EB"/>
      <rgbColor rgb="FF33CCCC"/>
      <rgbColor rgb="FF99CC00"/>
      <rgbColor rgb="FFFFCC00"/>
      <rgbColor rgb="FFFF9900"/>
      <rgbColor rgb="FFD97706"/>
      <rgbColor rgb="FF64748B"/>
      <rgbColor rgb="FF969696"/>
      <rgbColor rgb="FF003366"/>
      <rgbColor rgb="FF339966"/>
      <rgbColor rgb="FF003300"/>
      <rgbColor rgb="FF475569"/>
      <rgbColor rgb="FF993300"/>
      <rgbColor rgb="FF993366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tabSelected="1" zoomScaleNormal="100" workbookViewId="0">
      <pane xSplit="1" ySplit="4" topLeftCell="B5" activePane="bottomRight" state="frozen"/>
      <selection pane="topRight"/>
      <selection pane="bottomLeft"/>
      <selection pane="bottomRight" activeCell="N14" sqref="N14"/>
    </sheetView>
  </sheetViews>
  <sheetFormatPr baseColWidth="10" defaultColWidth="8.6640625" defaultRowHeight="14.4" x14ac:dyDescent="0.3"/>
  <cols>
    <col min="1" max="1" width="18.5546875" customWidth="1"/>
    <col min="2" max="3" width="9" customWidth="1"/>
    <col min="4" max="4" width="16.6640625" customWidth="1"/>
    <col min="5" max="5" width="16.21875" customWidth="1"/>
    <col min="6" max="6" width="13.6640625" customWidth="1"/>
    <col min="7" max="8" width="9" customWidth="1"/>
    <col min="9" max="9" width="9.77734375" customWidth="1"/>
    <col min="10" max="10" width="25" customWidth="1"/>
  </cols>
  <sheetData>
    <row r="1" spans="1:10" ht="21.6" customHeight="1" x14ac:dyDescent="0.3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6" customHeight="1" x14ac:dyDescent="0.3"/>
    <row r="3" spans="1:10" ht="19.5" customHeight="1" x14ac:dyDescent="0.3">
      <c r="A3" s="1"/>
      <c r="B3" s="33" t="s">
        <v>1</v>
      </c>
      <c r="C3" s="33"/>
      <c r="D3" s="33"/>
      <c r="E3" s="33"/>
      <c r="F3" s="34" t="s">
        <v>2</v>
      </c>
      <c r="G3" s="34"/>
      <c r="H3" s="34"/>
      <c r="I3" s="34"/>
      <c r="J3" s="2" t="s">
        <v>3</v>
      </c>
    </row>
    <row r="4" spans="1:10" ht="30" customHeight="1" x14ac:dyDescent="0.3">
      <c r="A4" s="3" t="s">
        <v>4</v>
      </c>
      <c r="B4" s="4" t="s">
        <v>5</v>
      </c>
      <c r="C4" s="4" t="s">
        <v>6</v>
      </c>
      <c r="D4" s="4" t="s">
        <v>7</v>
      </c>
      <c r="E4" s="5" t="s">
        <v>8</v>
      </c>
      <c r="F4" s="6" t="s">
        <v>9</v>
      </c>
      <c r="G4" s="6" t="s">
        <v>10</v>
      </c>
      <c r="H4" s="6" t="s">
        <v>11</v>
      </c>
      <c r="I4" s="7" t="s">
        <v>12</v>
      </c>
      <c r="J4" s="8" t="s">
        <v>13</v>
      </c>
    </row>
    <row r="5" spans="1:10" x14ac:dyDescent="0.3">
      <c r="A5" s="9" t="str">
        <f>Donnees!A4</f>
        <v>E1</v>
      </c>
      <c r="B5" s="10">
        <f>Donnees!B4</f>
        <v>1</v>
      </c>
      <c r="C5" s="10">
        <f>Donnees!C4</f>
        <v>8</v>
      </c>
      <c r="D5" s="10">
        <f>Donnees!D4</f>
        <v>1</v>
      </c>
      <c r="E5" s="10">
        <f>Donnees!E4</f>
        <v>4</v>
      </c>
      <c r="F5" s="10">
        <f>Contributions!B4</f>
        <v>4</v>
      </c>
      <c r="G5" s="10">
        <f>Contributions!C4</f>
        <v>8</v>
      </c>
      <c r="H5" s="10">
        <f>Contributions!D4</f>
        <v>2</v>
      </c>
      <c r="I5" s="10">
        <f>Contributions!E4</f>
        <v>4</v>
      </c>
      <c r="J5" s="11">
        <f>Contributions!F4</f>
        <v>18</v>
      </c>
    </row>
    <row r="6" spans="1:10" x14ac:dyDescent="0.3">
      <c r="A6" s="12" t="str">
        <f>Donnees!A5</f>
        <v>E2</v>
      </c>
      <c r="B6" s="13">
        <f>Donnees!B5</f>
        <v>1</v>
      </c>
      <c r="C6" s="13">
        <f>Donnees!C5</f>
        <v>6</v>
      </c>
      <c r="D6" s="13">
        <f>Donnees!D5</f>
        <v>0</v>
      </c>
      <c r="E6" s="13">
        <f>Donnees!E5</f>
        <v>2</v>
      </c>
      <c r="F6" s="13">
        <f>Contributions!B5</f>
        <v>4</v>
      </c>
      <c r="G6" s="13">
        <f>Contributions!C5</f>
        <v>6</v>
      </c>
      <c r="H6" s="13">
        <f>Contributions!D5</f>
        <v>0</v>
      </c>
      <c r="I6" s="13">
        <f>Contributions!E5</f>
        <v>2</v>
      </c>
      <c r="J6" s="11">
        <f>Contributions!F5</f>
        <v>12</v>
      </c>
    </row>
    <row r="7" spans="1:10" x14ac:dyDescent="0.3">
      <c r="A7" s="9" t="str">
        <f>Donnees!A6</f>
        <v>E3</v>
      </c>
      <c r="B7" s="10">
        <f>Donnees!B6</f>
        <v>0</v>
      </c>
      <c r="C7" s="10">
        <f>Donnees!C6</f>
        <v>9</v>
      </c>
      <c r="D7" s="10">
        <f>Donnees!D6</f>
        <v>1</v>
      </c>
      <c r="E7" s="10">
        <f>Donnees!E6</f>
        <v>4</v>
      </c>
      <c r="F7" s="10">
        <f>Contributions!B6</f>
        <v>0</v>
      </c>
      <c r="G7" s="10">
        <f>Contributions!C6</f>
        <v>9</v>
      </c>
      <c r="H7" s="10">
        <f>Contributions!D6</f>
        <v>2</v>
      </c>
      <c r="I7" s="10">
        <f>Contributions!E6</f>
        <v>4</v>
      </c>
      <c r="J7" s="11">
        <f>Contributions!F6</f>
        <v>15</v>
      </c>
    </row>
    <row r="8" spans="1:10" x14ac:dyDescent="0.3">
      <c r="A8" s="12" t="str">
        <f>Donnees!A7</f>
        <v>E4</v>
      </c>
      <c r="B8" s="13">
        <f>Donnees!B7</f>
        <v>1</v>
      </c>
      <c r="C8" s="13">
        <f>Donnees!C7</f>
        <v>5</v>
      </c>
      <c r="D8" s="13">
        <f>Donnees!D7</f>
        <v>1</v>
      </c>
      <c r="E8" s="13">
        <f>Donnees!E7</f>
        <v>2</v>
      </c>
      <c r="F8" s="13">
        <f>Contributions!B7</f>
        <v>4</v>
      </c>
      <c r="G8" s="13">
        <f>Contributions!C7</f>
        <v>5</v>
      </c>
      <c r="H8" s="13">
        <f>Contributions!D7</f>
        <v>2</v>
      </c>
      <c r="I8" s="13">
        <f>Contributions!E7</f>
        <v>2</v>
      </c>
      <c r="J8" s="11">
        <f>Contributions!F7</f>
        <v>13</v>
      </c>
    </row>
    <row r="9" spans="1:10" x14ac:dyDescent="0.3">
      <c r="A9" s="9" t="str">
        <f>Donnees!A8</f>
        <v>E5</v>
      </c>
      <c r="B9" s="10">
        <f>Donnees!B8</f>
        <v>0</v>
      </c>
      <c r="C9" s="10">
        <f>Donnees!C8</f>
        <v>7</v>
      </c>
      <c r="D9" s="10">
        <f>Donnees!D8</f>
        <v>0</v>
      </c>
      <c r="E9" s="10">
        <f>Donnees!E8</f>
        <v>4</v>
      </c>
      <c r="F9" s="10">
        <f>Contributions!B8</f>
        <v>0</v>
      </c>
      <c r="G9" s="10">
        <f>Contributions!C8</f>
        <v>7</v>
      </c>
      <c r="H9" s="10">
        <f>Contributions!D8</f>
        <v>0</v>
      </c>
      <c r="I9" s="10">
        <f>Contributions!E8</f>
        <v>4</v>
      </c>
      <c r="J9" s="11">
        <f>Contributions!F8</f>
        <v>11</v>
      </c>
    </row>
    <row r="10" spans="1:10" x14ac:dyDescent="0.3">
      <c r="A10" s="12" t="str">
        <f>Donnees!A9</f>
        <v>E6</v>
      </c>
      <c r="B10" s="13">
        <f>Donnees!B9</f>
        <v>1</v>
      </c>
      <c r="C10" s="13">
        <f>Donnees!C9</f>
        <v>4</v>
      </c>
      <c r="D10" s="13">
        <f>Donnees!D9</f>
        <v>1</v>
      </c>
      <c r="E10" s="13">
        <f>Donnees!E9</f>
        <v>0</v>
      </c>
      <c r="F10" s="13">
        <f>Contributions!B9</f>
        <v>4</v>
      </c>
      <c r="G10" s="13">
        <f>Contributions!C9</f>
        <v>4</v>
      </c>
      <c r="H10" s="13">
        <f>Contributions!D9</f>
        <v>2</v>
      </c>
      <c r="I10" s="13">
        <f>Contributions!E9</f>
        <v>0</v>
      </c>
      <c r="J10" s="11">
        <f>Contributions!F9</f>
        <v>10</v>
      </c>
    </row>
    <row r="11" spans="1:10" x14ac:dyDescent="0.3">
      <c r="A11" s="9" t="str">
        <f>Donnees!A10</f>
        <v>E7</v>
      </c>
      <c r="B11" s="10">
        <f>Donnees!B10</f>
        <v>1</v>
      </c>
      <c r="C11" s="10">
        <f>Donnees!C10</f>
        <v>10</v>
      </c>
      <c r="D11" s="10">
        <f>Donnees!D10</f>
        <v>1</v>
      </c>
      <c r="E11" s="10">
        <f>Donnees!E10</f>
        <v>4</v>
      </c>
      <c r="F11" s="10">
        <f>Contributions!B10</f>
        <v>4</v>
      </c>
      <c r="G11" s="10">
        <f>Contributions!C10</f>
        <v>10</v>
      </c>
      <c r="H11" s="10">
        <f>Contributions!D10</f>
        <v>2</v>
      </c>
      <c r="I11" s="10">
        <f>Contributions!E10</f>
        <v>4</v>
      </c>
      <c r="J11" s="11">
        <f>Contributions!F10</f>
        <v>20</v>
      </c>
    </row>
    <row r="12" spans="1:10" x14ac:dyDescent="0.3">
      <c r="A12" s="12" t="str">
        <f>Donnees!A11</f>
        <v>E8</v>
      </c>
      <c r="B12" s="13">
        <f>Donnees!B11</f>
        <v>0</v>
      </c>
      <c r="C12" s="13">
        <f>Donnees!C11</f>
        <v>3</v>
      </c>
      <c r="D12" s="13">
        <f>Donnees!D11</f>
        <v>0</v>
      </c>
      <c r="E12" s="13">
        <f>Donnees!E11</f>
        <v>2</v>
      </c>
      <c r="F12" s="13">
        <f>Contributions!B11</f>
        <v>0</v>
      </c>
      <c r="G12" s="13">
        <f>Contributions!C11</f>
        <v>3</v>
      </c>
      <c r="H12" s="13">
        <f>Contributions!D11</f>
        <v>0</v>
      </c>
      <c r="I12" s="13">
        <f>Contributions!E11</f>
        <v>2</v>
      </c>
      <c r="J12" s="11">
        <f>Contributions!F11</f>
        <v>5</v>
      </c>
    </row>
    <row r="13" spans="1:10" ht="18" customHeight="1" x14ac:dyDescent="0.3">
      <c r="A13" s="14" t="s">
        <v>14</v>
      </c>
      <c r="B13" s="15">
        <f>AVERAGE(B5:B12)</f>
        <v>0.625</v>
      </c>
      <c r="C13" s="15">
        <f>AVERAGE(C5:C12)</f>
        <v>6.5</v>
      </c>
      <c r="D13" s="15">
        <f>AVERAGE(D5:D12)</f>
        <v>0.625</v>
      </c>
      <c r="E13" s="15">
        <f>AVERAGE(E5:E12)</f>
        <v>2.75</v>
      </c>
      <c r="F13" s="30" t="s">
        <v>15</v>
      </c>
      <c r="G13" s="30"/>
      <c r="H13" s="30"/>
      <c r="I13" s="30"/>
      <c r="J13" s="30"/>
    </row>
    <row r="14" spans="1:10" ht="21.75" customHeight="1" x14ac:dyDescent="0.3">
      <c r="A14" s="16" t="s">
        <v>16</v>
      </c>
      <c r="B14" s="17">
        <f>Difficulte!E4</f>
        <v>0.625</v>
      </c>
      <c r="C14" s="17">
        <f>Difficulte!E5</f>
        <v>0.65</v>
      </c>
      <c r="D14" s="17">
        <f>Difficulte!E6</f>
        <v>0.625</v>
      </c>
      <c r="E14" s="17">
        <f>Difficulte!E7</f>
        <v>0.6875</v>
      </c>
      <c r="F14" s="35" t="s">
        <v>17</v>
      </c>
      <c r="G14" s="35"/>
      <c r="H14" s="35"/>
      <c r="I14" s="35"/>
      <c r="J14" s="18">
        <f>AlphaCronbach!B12</f>
        <v>0.5213675213675214</v>
      </c>
    </row>
    <row r="15" spans="1:10" ht="19.5" customHeight="1" x14ac:dyDescent="0.3">
      <c r="A15" s="19" t="s">
        <v>18</v>
      </c>
      <c r="B15" s="20">
        <f>Discrimination!D4</f>
        <v>3.3058980245364314E-2</v>
      </c>
      <c r="C15" s="20">
        <f>Discrimination!D5</f>
        <v>0.62994078834871203</v>
      </c>
      <c r="D15" s="20">
        <f>Discrimination!D6</f>
        <v>0.48434343544519759</v>
      </c>
      <c r="E15" s="20">
        <f>Discrimination!D7</f>
        <v>0.34879055774945689</v>
      </c>
      <c r="F15" s="30" t="s">
        <v>19</v>
      </c>
      <c r="G15" s="30"/>
      <c r="H15" s="30"/>
      <c r="I15" s="30"/>
      <c r="J15" s="30"/>
    </row>
    <row r="17" spans="1:10" ht="19.5" customHeight="1" x14ac:dyDescent="0.3">
      <c r="A17" s="31" t="s">
        <v>20</v>
      </c>
      <c r="B17" s="31"/>
      <c r="C17" s="31"/>
      <c r="D17" s="31"/>
      <c r="E17" s="31"/>
      <c r="F17" s="31"/>
      <c r="G17" s="31"/>
      <c r="H17" s="31"/>
      <c r="I17" s="31"/>
      <c r="J17" s="31"/>
    </row>
    <row r="18" spans="1:10" ht="27" customHeight="1" x14ac:dyDescent="0.3">
      <c r="A18" s="29" t="s">
        <v>21</v>
      </c>
      <c r="B18" s="29"/>
      <c r="C18" s="29"/>
      <c r="D18" s="29"/>
      <c r="E18" s="29"/>
      <c r="F18" s="29"/>
      <c r="G18" s="29"/>
      <c r="H18" s="29"/>
      <c r="I18" s="29"/>
      <c r="J18" s="29"/>
    </row>
    <row r="19" spans="1:10" ht="28.8" customHeight="1" x14ac:dyDescent="0.3">
      <c r="A19" s="29" t="s">
        <v>22</v>
      </c>
      <c r="B19" s="29"/>
      <c r="C19" s="29"/>
      <c r="D19" s="29"/>
      <c r="E19" s="29"/>
      <c r="F19" s="29"/>
      <c r="G19" s="29"/>
      <c r="H19" s="29"/>
      <c r="I19" s="29"/>
      <c r="J19" s="29"/>
    </row>
    <row r="20" spans="1:10" ht="38.4" customHeight="1" x14ac:dyDescent="0.3">
      <c r="A20" s="29" t="s">
        <v>23</v>
      </c>
      <c r="B20" s="29"/>
      <c r="C20" s="29"/>
      <c r="D20" s="29"/>
      <c r="E20" s="29"/>
      <c r="F20" s="29"/>
      <c r="G20" s="29"/>
      <c r="H20" s="29"/>
      <c r="I20" s="29"/>
      <c r="J20" s="29"/>
    </row>
    <row r="21" spans="1:10" ht="34.799999999999997" customHeight="1" x14ac:dyDescent="0.3">
      <c r="A21" s="29" t="s">
        <v>24</v>
      </c>
      <c r="B21" s="29"/>
      <c r="C21" s="29"/>
      <c r="D21" s="29"/>
      <c r="E21" s="29"/>
      <c r="F21" s="29"/>
      <c r="G21" s="29"/>
      <c r="H21" s="29"/>
      <c r="I21" s="29"/>
      <c r="J21" s="29"/>
    </row>
    <row r="22" spans="1:10" ht="43.8" customHeight="1" x14ac:dyDescent="0.3">
      <c r="A22" s="29" t="s">
        <v>25</v>
      </c>
      <c r="B22" s="29"/>
      <c r="C22" s="29"/>
      <c r="D22" s="29"/>
      <c r="E22" s="29"/>
      <c r="F22" s="29"/>
      <c r="G22" s="29"/>
      <c r="H22" s="29"/>
      <c r="I22" s="29"/>
      <c r="J22" s="29"/>
    </row>
  </sheetData>
  <mergeCells count="12">
    <mergeCell ref="A1:J1"/>
    <mergeCell ref="B3:E3"/>
    <mergeCell ref="F3:I3"/>
    <mergeCell ref="F13:J13"/>
    <mergeCell ref="F14:I14"/>
    <mergeCell ref="A21:J21"/>
    <mergeCell ref="A22:J22"/>
    <mergeCell ref="F15:J15"/>
    <mergeCell ref="A17:J17"/>
    <mergeCell ref="A18:J18"/>
    <mergeCell ref="A19:J19"/>
    <mergeCell ref="A20:J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zoomScaleNormal="100" workbookViewId="0">
      <selection sqref="A1:F1"/>
    </sheetView>
  </sheetViews>
  <sheetFormatPr baseColWidth="10" defaultColWidth="8.6640625" defaultRowHeight="14.4" x14ac:dyDescent="0.3"/>
  <cols>
    <col min="1" max="1" width="16.109375" style="21" customWidth="1"/>
    <col min="2" max="2" width="26" style="21" customWidth="1"/>
    <col min="3" max="3" width="12" style="21" customWidth="1"/>
    <col min="4" max="4" width="16.6640625" style="21" customWidth="1"/>
    <col min="5" max="5" width="16.21875" style="21" customWidth="1"/>
    <col min="6" max="6" width="85.88671875" style="21" customWidth="1"/>
    <col min="10" max="10" width="36.33203125" customWidth="1"/>
  </cols>
  <sheetData>
    <row r="1" spans="1:6" ht="15.75" customHeight="1" x14ac:dyDescent="0.3">
      <c r="A1" s="36" t="s">
        <v>26</v>
      </c>
      <c r="B1" s="36"/>
      <c r="C1" s="36"/>
      <c r="D1" s="36"/>
      <c r="E1" s="36"/>
      <c r="F1" s="36"/>
    </row>
    <row r="3" spans="1:6" ht="15" customHeight="1" x14ac:dyDescent="0.3">
      <c r="A3" s="22" t="s">
        <v>27</v>
      </c>
      <c r="B3" s="22" t="s">
        <v>28</v>
      </c>
      <c r="C3" s="22" t="s">
        <v>29</v>
      </c>
      <c r="D3" s="22" t="s">
        <v>30</v>
      </c>
      <c r="E3" s="22" t="s">
        <v>31</v>
      </c>
      <c r="F3" s="22" t="s">
        <v>32</v>
      </c>
    </row>
    <row r="4" spans="1:6" ht="15" customHeight="1" x14ac:dyDescent="0.3">
      <c r="A4" s="23">
        <v>1</v>
      </c>
      <c r="B4" s="23" t="s">
        <v>33</v>
      </c>
      <c r="C4" s="23" t="s">
        <v>34</v>
      </c>
      <c r="D4" s="23">
        <v>4</v>
      </c>
      <c r="E4" s="23"/>
      <c r="F4" s="24" t="s">
        <v>35</v>
      </c>
    </row>
    <row r="5" spans="1:6" ht="15" customHeight="1" x14ac:dyDescent="0.3">
      <c r="A5" s="23">
        <v>2</v>
      </c>
      <c r="B5" s="23" t="s">
        <v>36</v>
      </c>
      <c r="C5" s="23" t="s">
        <v>37</v>
      </c>
      <c r="D5" s="23">
        <v>10</v>
      </c>
      <c r="E5" s="23">
        <v>10</v>
      </c>
      <c r="F5" s="24" t="s">
        <v>38</v>
      </c>
    </row>
    <row r="6" spans="1:6" ht="15" customHeight="1" x14ac:dyDescent="0.3">
      <c r="A6" s="23">
        <v>3</v>
      </c>
      <c r="B6" s="23" t="s">
        <v>39</v>
      </c>
      <c r="C6" s="23" t="s">
        <v>34</v>
      </c>
      <c r="D6" s="23">
        <v>2</v>
      </c>
      <c r="E6" s="23"/>
      <c r="F6" s="24" t="s">
        <v>35</v>
      </c>
    </row>
    <row r="7" spans="1:6" ht="15" customHeight="1" x14ac:dyDescent="0.3">
      <c r="A7" s="23">
        <v>4</v>
      </c>
      <c r="B7" s="23" t="s">
        <v>40</v>
      </c>
      <c r="C7" s="23" t="s">
        <v>37</v>
      </c>
      <c r="D7" s="23">
        <v>4</v>
      </c>
      <c r="E7" s="23">
        <v>4</v>
      </c>
      <c r="F7" s="24" t="s">
        <v>41</v>
      </c>
    </row>
    <row r="9" spans="1:6" ht="15" customHeight="1" x14ac:dyDescent="0.3">
      <c r="A9" s="25" t="s">
        <v>42</v>
      </c>
    </row>
    <row r="10" spans="1:6" ht="15" customHeight="1" x14ac:dyDescent="0.3">
      <c r="A10" s="21" t="s">
        <v>43</v>
      </c>
    </row>
    <row r="11" spans="1:6" ht="15" customHeight="1" x14ac:dyDescent="0.3">
      <c r="A11" s="21" t="s">
        <v>44</v>
      </c>
    </row>
    <row r="12" spans="1:6" ht="15" customHeight="1" x14ac:dyDescent="0.3">
      <c r="A12" s="21" t="s">
        <v>45</v>
      </c>
    </row>
    <row r="18" spans="1:1" ht="27" customHeight="1" x14ac:dyDescent="0.3"/>
    <row r="19" spans="1:1" ht="28.8" customHeight="1" x14ac:dyDescent="0.3"/>
    <row r="20" spans="1:1" ht="38.4" customHeight="1" x14ac:dyDescent="0.3"/>
    <row r="21" spans="1:1" ht="34.799999999999997" customHeight="1" x14ac:dyDescent="0.3"/>
    <row r="22" spans="1:1" ht="43.8" customHeight="1" x14ac:dyDescent="0.3">
      <c r="A22" s="21" t="s">
        <v>25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1" width="10" style="21" customWidth="1"/>
    <col min="2" max="2" width="15" style="21" customWidth="1"/>
    <col min="3" max="3" width="20" style="21" customWidth="1"/>
    <col min="4" max="4" width="15" style="21" customWidth="1"/>
    <col min="5" max="5" width="20" style="21" customWidth="1"/>
  </cols>
  <sheetData>
    <row r="1" spans="1:5" ht="15" customHeight="1" x14ac:dyDescent="0.3">
      <c r="A1" s="37" t="s">
        <v>46</v>
      </c>
      <c r="B1" s="37"/>
      <c r="C1" s="37"/>
      <c r="D1" s="37"/>
      <c r="E1" s="37"/>
    </row>
    <row r="3" spans="1:5" ht="15" customHeight="1" x14ac:dyDescent="0.3">
      <c r="A3" s="22" t="s">
        <v>47</v>
      </c>
      <c r="B3" s="22" t="s">
        <v>48</v>
      </c>
      <c r="C3" s="22" t="s">
        <v>49</v>
      </c>
      <c r="D3" s="22" t="s">
        <v>50</v>
      </c>
      <c r="E3" s="22" t="s">
        <v>51</v>
      </c>
    </row>
    <row r="4" spans="1:5" ht="15" customHeight="1" x14ac:dyDescent="0.3">
      <c r="A4" s="24" t="s">
        <v>52</v>
      </c>
      <c r="B4" s="23">
        <v>1</v>
      </c>
      <c r="C4" s="23">
        <v>8</v>
      </c>
      <c r="D4" s="23">
        <v>1</v>
      </c>
      <c r="E4" s="23">
        <v>4</v>
      </c>
    </row>
    <row r="5" spans="1:5" ht="15" customHeight="1" x14ac:dyDescent="0.3">
      <c r="A5" s="24" t="s">
        <v>53</v>
      </c>
      <c r="B5" s="23">
        <v>1</v>
      </c>
      <c r="C5" s="23">
        <v>6</v>
      </c>
      <c r="D5" s="23">
        <v>0</v>
      </c>
      <c r="E5" s="23">
        <v>2</v>
      </c>
    </row>
    <row r="6" spans="1:5" ht="15" customHeight="1" x14ac:dyDescent="0.3">
      <c r="A6" s="24" t="s">
        <v>54</v>
      </c>
      <c r="B6" s="23">
        <v>0</v>
      </c>
      <c r="C6" s="23">
        <v>9</v>
      </c>
      <c r="D6" s="23">
        <v>1</v>
      </c>
      <c r="E6" s="23">
        <v>4</v>
      </c>
    </row>
    <row r="7" spans="1:5" ht="15" customHeight="1" x14ac:dyDescent="0.3">
      <c r="A7" s="24" t="s">
        <v>55</v>
      </c>
      <c r="B7" s="23">
        <v>1</v>
      </c>
      <c r="C7" s="23">
        <v>5</v>
      </c>
      <c r="D7" s="23">
        <v>1</v>
      </c>
      <c r="E7" s="23">
        <v>2</v>
      </c>
    </row>
    <row r="8" spans="1:5" ht="15" customHeight="1" x14ac:dyDescent="0.3">
      <c r="A8" s="24" t="s">
        <v>56</v>
      </c>
      <c r="B8" s="23">
        <v>0</v>
      </c>
      <c r="C8" s="23">
        <v>7</v>
      </c>
      <c r="D8" s="23">
        <v>0</v>
      </c>
      <c r="E8" s="23">
        <v>4</v>
      </c>
    </row>
    <row r="9" spans="1:5" ht="15" customHeight="1" x14ac:dyDescent="0.3">
      <c r="A9" s="24" t="s">
        <v>57</v>
      </c>
      <c r="B9" s="23">
        <v>1</v>
      </c>
      <c r="C9" s="23">
        <v>4</v>
      </c>
      <c r="D9" s="23">
        <v>1</v>
      </c>
      <c r="E9" s="23">
        <v>0</v>
      </c>
    </row>
    <row r="10" spans="1:5" ht="15" customHeight="1" x14ac:dyDescent="0.3">
      <c r="A10" s="24" t="s">
        <v>58</v>
      </c>
      <c r="B10" s="23">
        <v>1</v>
      </c>
      <c r="C10" s="23">
        <v>10</v>
      </c>
      <c r="D10" s="23">
        <v>1</v>
      </c>
      <c r="E10" s="23">
        <v>4</v>
      </c>
    </row>
    <row r="11" spans="1:5" ht="15" customHeight="1" x14ac:dyDescent="0.3">
      <c r="A11" s="24" t="s">
        <v>59</v>
      </c>
      <c r="B11" s="23">
        <v>0</v>
      </c>
      <c r="C11" s="23">
        <v>3</v>
      </c>
      <c r="D11" s="23">
        <v>0</v>
      </c>
      <c r="E11" s="23">
        <v>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zoomScaleNormal="100" workbookViewId="0">
      <selection sqref="A1:F1"/>
    </sheetView>
  </sheetViews>
  <sheetFormatPr baseColWidth="10" defaultColWidth="8.6640625" defaultRowHeight="14.4" x14ac:dyDescent="0.3"/>
  <cols>
    <col min="1" max="1" width="10" style="21" customWidth="1"/>
    <col min="2" max="5" width="13" style="21" customWidth="1"/>
    <col min="6" max="6" width="39.77734375" style="21" customWidth="1"/>
  </cols>
  <sheetData>
    <row r="1" spans="1:6" ht="15" customHeight="1" x14ac:dyDescent="0.3">
      <c r="A1" s="37" t="s">
        <v>60</v>
      </c>
      <c r="B1" s="37"/>
      <c r="C1" s="37"/>
      <c r="D1" s="37"/>
      <c r="E1" s="37"/>
      <c r="F1" s="37"/>
    </row>
    <row r="3" spans="1:6" ht="15" customHeight="1" x14ac:dyDescent="0.3">
      <c r="A3" s="22" t="s">
        <v>47</v>
      </c>
      <c r="B3" s="22" t="s">
        <v>61</v>
      </c>
      <c r="C3" s="22" t="s">
        <v>62</v>
      </c>
      <c r="D3" s="22" t="s">
        <v>63</v>
      </c>
      <c r="E3" s="22" t="s">
        <v>64</v>
      </c>
      <c r="F3" s="22" t="s">
        <v>65</v>
      </c>
    </row>
    <row r="4" spans="1:6" ht="15" customHeight="1" x14ac:dyDescent="0.3">
      <c r="A4" s="24" t="str">
        <f>Donnees!A4</f>
        <v>E1</v>
      </c>
      <c r="B4" s="26">
        <f>IF(Bareme!$C$4="BINAIRE",Donnees!B4*Bareme!$D$4,Donnees!B4)</f>
        <v>4</v>
      </c>
      <c r="C4" s="26">
        <f>IF(Bareme!$C$5="BINAIRE",Donnees!C4*Bareme!$D$5,Donnees!C4)</f>
        <v>8</v>
      </c>
      <c r="D4" s="26">
        <f>IF(Bareme!$C$6="BINAIRE",Donnees!D4*Bareme!$D$6,Donnees!D4)</f>
        <v>2</v>
      </c>
      <c r="E4" s="26">
        <f>IF(Bareme!$C$7="BINAIRE",Donnees!E4*Bareme!$D$7,Donnees!E4)</f>
        <v>4</v>
      </c>
      <c r="F4" s="26">
        <f t="shared" ref="F4:F11" si="0">SUM(B4:E4)</f>
        <v>18</v>
      </c>
    </row>
    <row r="5" spans="1:6" ht="15" customHeight="1" x14ac:dyDescent="0.3">
      <c r="A5" s="24" t="str">
        <f>Donnees!A5</f>
        <v>E2</v>
      </c>
      <c r="B5" s="26">
        <f>IF(Bareme!$C$4="BINAIRE",Donnees!B5*Bareme!$D$4,Donnees!B5)</f>
        <v>4</v>
      </c>
      <c r="C5" s="26">
        <f>IF(Bareme!$C$5="BINAIRE",Donnees!C5*Bareme!$D$5,Donnees!C5)</f>
        <v>6</v>
      </c>
      <c r="D5" s="26">
        <f>IF(Bareme!$C$6="BINAIRE",Donnees!D5*Bareme!$D$6,Donnees!D5)</f>
        <v>0</v>
      </c>
      <c r="E5" s="26">
        <f>IF(Bareme!$C$7="BINAIRE",Donnees!E5*Bareme!$D$7,Donnees!E5)</f>
        <v>2</v>
      </c>
      <c r="F5" s="26">
        <f t="shared" si="0"/>
        <v>12</v>
      </c>
    </row>
    <row r="6" spans="1:6" ht="15" customHeight="1" x14ac:dyDescent="0.3">
      <c r="A6" s="24" t="str">
        <f>Donnees!A6</f>
        <v>E3</v>
      </c>
      <c r="B6" s="26">
        <f>IF(Bareme!$C$4="BINAIRE",Donnees!B6*Bareme!$D$4,Donnees!B6)</f>
        <v>0</v>
      </c>
      <c r="C6" s="26">
        <f>IF(Bareme!$C$5="BINAIRE",Donnees!C6*Bareme!$D$5,Donnees!C6)</f>
        <v>9</v>
      </c>
      <c r="D6" s="26">
        <f>IF(Bareme!$C$6="BINAIRE",Donnees!D6*Bareme!$D$6,Donnees!D6)</f>
        <v>2</v>
      </c>
      <c r="E6" s="26">
        <f>IF(Bareme!$C$7="BINAIRE",Donnees!E6*Bareme!$D$7,Donnees!E6)</f>
        <v>4</v>
      </c>
      <c r="F6" s="26">
        <f t="shared" si="0"/>
        <v>15</v>
      </c>
    </row>
    <row r="7" spans="1:6" ht="15" customHeight="1" x14ac:dyDescent="0.3">
      <c r="A7" s="24" t="str">
        <f>Donnees!A7</f>
        <v>E4</v>
      </c>
      <c r="B7" s="26">
        <f>IF(Bareme!$C$4="BINAIRE",Donnees!B7*Bareme!$D$4,Donnees!B7)</f>
        <v>4</v>
      </c>
      <c r="C7" s="26">
        <f>IF(Bareme!$C$5="BINAIRE",Donnees!C7*Bareme!$D$5,Donnees!C7)</f>
        <v>5</v>
      </c>
      <c r="D7" s="26">
        <f>IF(Bareme!$C$6="BINAIRE",Donnees!D7*Bareme!$D$6,Donnees!D7)</f>
        <v>2</v>
      </c>
      <c r="E7" s="26">
        <f>IF(Bareme!$C$7="BINAIRE",Donnees!E7*Bareme!$D$7,Donnees!E7)</f>
        <v>2</v>
      </c>
      <c r="F7" s="26">
        <f t="shared" si="0"/>
        <v>13</v>
      </c>
    </row>
    <row r="8" spans="1:6" ht="15" customHeight="1" x14ac:dyDescent="0.3">
      <c r="A8" s="24" t="str">
        <f>Donnees!A8</f>
        <v>E5</v>
      </c>
      <c r="B8" s="26">
        <f>IF(Bareme!$C$4="BINAIRE",Donnees!B8*Bareme!$D$4,Donnees!B8)</f>
        <v>0</v>
      </c>
      <c r="C8" s="26">
        <f>IF(Bareme!$C$5="BINAIRE",Donnees!C8*Bareme!$D$5,Donnees!C8)</f>
        <v>7</v>
      </c>
      <c r="D8" s="26">
        <f>IF(Bareme!$C$6="BINAIRE",Donnees!D8*Bareme!$D$6,Donnees!D8)</f>
        <v>0</v>
      </c>
      <c r="E8" s="26">
        <f>IF(Bareme!$C$7="BINAIRE",Donnees!E8*Bareme!$D$7,Donnees!E8)</f>
        <v>4</v>
      </c>
      <c r="F8" s="26">
        <f t="shared" si="0"/>
        <v>11</v>
      </c>
    </row>
    <row r="9" spans="1:6" ht="15" customHeight="1" x14ac:dyDescent="0.3">
      <c r="A9" s="24" t="str">
        <f>Donnees!A9</f>
        <v>E6</v>
      </c>
      <c r="B9" s="26">
        <f>IF(Bareme!$C$4="BINAIRE",Donnees!B9*Bareme!$D$4,Donnees!B9)</f>
        <v>4</v>
      </c>
      <c r="C9" s="26">
        <f>IF(Bareme!$C$5="BINAIRE",Donnees!C9*Bareme!$D$5,Donnees!C9)</f>
        <v>4</v>
      </c>
      <c r="D9" s="26">
        <f>IF(Bareme!$C$6="BINAIRE",Donnees!D9*Bareme!$D$6,Donnees!D9)</f>
        <v>2</v>
      </c>
      <c r="E9" s="26">
        <f>IF(Bareme!$C$7="BINAIRE",Donnees!E9*Bareme!$D$7,Donnees!E9)</f>
        <v>0</v>
      </c>
      <c r="F9" s="26">
        <f t="shared" si="0"/>
        <v>10</v>
      </c>
    </row>
    <row r="10" spans="1:6" ht="15" customHeight="1" x14ac:dyDescent="0.3">
      <c r="A10" s="24" t="str">
        <f>Donnees!A10</f>
        <v>E7</v>
      </c>
      <c r="B10" s="26">
        <f>IF(Bareme!$C$4="BINAIRE",Donnees!B10*Bareme!$D$4,Donnees!B10)</f>
        <v>4</v>
      </c>
      <c r="C10" s="26">
        <f>IF(Bareme!$C$5="BINAIRE",Donnees!C10*Bareme!$D$5,Donnees!C10)</f>
        <v>10</v>
      </c>
      <c r="D10" s="26">
        <f>IF(Bareme!$C$6="BINAIRE",Donnees!D10*Bareme!$D$6,Donnees!D10)</f>
        <v>2</v>
      </c>
      <c r="E10" s="26">
        <f>IF(Bareme!$C$7="BINAIRE",Donnees!E10*Bareme!$D$7,Donnees!E10)</f>
        <v>4</v>
      </c>
      <c r="F10" s="26">
        <f t="shared" si="0"/>
        <v>20</v>
      </c>
    </row>
    <row r="11" spans="1:6" ht="15" customHeight="1" x14ac:dyDescent="0.3">
      <c r="A11" s="24" t="str">
        <f>Donnees!A11</f>
        <v>E8</v>
      </c>
      <c r="B11" s="26">
        <f>IF(Bareme!$C$4="BINAIRE",Donnees!B11*Bareme!$D$4,Donnees!B11)</f>
        <v>0</v>
      </c>
      <c r="C11" s="26">
        <f>IF(Bareme!$C$5="BINAIRE",Donnees!C11*Bareme!$D$5,Donnees!C11)</f>
        <v>3</v>
      </c>
      <c r="D11" s="26">
        <f>IF(Bareme!$C$6="BINAIRE",Donnees!D11*Bareme!$D$6,Donnees!D11)</f>
        <v>0</v>
      </c>
      <c r="E11" s="26">
        <f>IF(Bareme!$C$7="BINAIRE",Donnees!E11*Bareme!$D$7,Donnees!E11)</f>
        <v>2</v>
      </c>
      <c r="F11" s="26">
        <f t="shared" si="0"/>
        <v>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1" width="10" style="21" customWidth="1"/>
    <col min="2" max="2" width="20.88671875" style="21" customWidth="1"/>
    <col min="3" max="3" width="18.109375" style="21" customWidth="1"/>
    <col min="4" max="4" width="23" style="21" customWidth="1"/>
    <col min="5" max="5" width="19.77734375" style="21" customWidth="1"/>
  </cols>
  <sheetData>
    <row r="1" spans="1:5" ht="15" customHeight="1" x14ac:dyDescent="0.3">
      <c r="A1" s="37" t="s">
        <v>66</v>
      </c>
      <c r="B1" s="37"/>
      <c r="C1" s="37"/>
      <c r="D1" s="37"/>
      <c r="E1" s="37"/>
    </row>
    <row r="3" spans="1:5" ht="15" customHeight="1" x14ac:dyDescent="0.3">
      <c r="A3" s="22" t="s">
        <v>27</v>
      </c>
      <c r="B3" s="22" t="s">
        <v>67</v>
      </c>
      <c r="C3" s="22" t="s">
        <v>29</v>
      </c>
      <c r="D3" s="22" t="s">
        <v>68</v>
      </c>
      <c r="E3" s="22" t="s">
        <v>69</v>
      </c>
    </row>
    <row r="4" spans="1:5" ht="15" customHeight="1" x14ac:dyDescent="0.3">
      <c r="A4" s="24">
        <v>1</v>
      </c>
      <c r="B4" s="26">
        <f>AVERAGE(Donnees!B4:B11)</f>
        <v>0.625</v>
      </c>
      <c r="C4" s="26" t="str">
        <f>Bareme!C4</f>
        <v>BINAIRE</v>
      </c>
      <c r="D4" s="26">
        <f>IF(Bareme!C4="BINAIRE",1,Bareme!E4)</f>
        <v>1</v>
      </c>
      <c r="E4" s="26">
        <f>B4/D4</f>
        <v>0.625</v>
      </c>
    </row>
    <row r="5" spans="1:5" ht="15" customHeight="1" x14ac:dyDescent="0.3">
      <c r="A5" s="24">
        <v>2</v>
      </c>
      <c r="B5" s="26">
        <f>AVERAGE(Donnees!C4:C11)</f>
        <v>6.5</v>
      </c>
      <c r="C5" s="26" t="str">
        <f>Bareme!C5</f>
        <v>NUMERIQUE</v>
      </c>
      <c r="D5" s="26">
        <f>IF(Bareme!C5="BINAIRE",1,Bareme!E5)</f>
        <v>10</v>
      </c>
      <c r="E5" s="26">
        <f>B5/D5</f>
        <v>0.65</v>
      </c>
    </row>
    <row r="6" spans="1:5" ht="15" customHeight="1" x14ac:dyDescent="0.3">
      <c r="A6" s="24">
        <v>3</v>
      </c>
      <c r="B6" s="26">
        <f>AVERAGE(Donnees!D4:D11)</f>
        <v>0.625</v>
      </c>
      <c r="C6" s="26" t="str">
        <f>Bareme!C6</f>
        <v>BINAIRE</v>
      </c>
      <c r="D6" s="26">
        <f>IF(Bareme!C6="BINAIRE",1,Bareme!E6)</f>
        <v>1</v>
      </c>
      <c r="E6" s="26">
        <f>B6/D6</f>
        <v>0.625</v>
      </c>
    </row>
    <row r="7" spans="1:5" ht="15" customHeight="1" x14ac:dyDescent="0.3">
      <c r="A7" s="24">
        <v>4</v>
      </c>
      <c r="B7" s="26">
        <f>AVERAGE(Donnees!E4:E11)</f>
        <v>2.75</v>
      </c>
      <c r="C7" s="26" t="str">
        <f>Bareme!C7</f>
        <v>NUMERIQUE</v>
      </c>
      <c r="D7" s="26">
        <f>IF(Bareme!C7="BINAIRE",1,Bareme!E7)</f>
        <v>4</v>
      </c>
      <c r="E7" s="26">
        <f>B7/D7</f>
        <v>0.6875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zoomScaleNormal="100" workbookViewId="0">
      <selection sqref="A1:F1"/>
    </sheetView>
  </sheetViews>
  <sheetFormatPr baseColWidth="10" defaultColWidth="8.6640625" defaultRowHeight="14.4" x14ac:dyDescent="0.3"/>
  <cols>
    <col min="1" max="1" width="10" style="21" customWidth="1"/>
    <col min="2" max="3" width="26" style="21" customWidth="1"/>
    <col min="4" max="4" width="15.44140625" style="21" customWidth="1"/>
    <col min="5" max="5" width="12.6640625" customWidth="1"/>
  </cols>
  <sheetData>
    <row r="1" spans="1:6" ht="15" customHeight="1" x14ac:dyDescent="0.3">
      <c r="A1" s="37" t="s">
        <v>70</v>
      </c>
      <c r="B1" s="37"/>
      <c r="C1" s="37"/>
      <c r="D1" s="37"/>
      <c r="E1" s="37"/>
      <c r="F1" s="37"/>
    </row>
    <row r="3" spans="1:6" ht="15" customHeight="1" x14ac:dyDescent="0.3">
      <c r="A3" s="22" t="s">
        <v>27</v>
      </c>
      <c r="B3" s="22" t="s">
        <v>71</v>
      </c>
      <c r="C3" s="22" t="s">
        <v>72</v>
      </c>
      <c r="D3" s="22" t="s">
        <v>73</v>
      </c>
    </row>
    <row r="4" spans="1:6" ht="15" customHeight="1" x14ac:dyDescent="0.3">
      <c r="A4" s="24">
        <v>1</v>
      </c>
      <c r="B4" s="24" t="s">
        <v>74</v>
      </c>
      <c r="C4" s="24" t="s">
        <v>75</v>
      </c>
      <c r="D4" s="26">
        <f>CORREL(Contributions!B4:B11,B9:B16)</f>
        <v>3.3058980245364314E-2</v>
      </c>
    </row>
    <row r="5" spans="1:6" ht="15" customHeight="1" x14ac:dyDescent="0.3">
      <c r="A5" s="24">
        <v>2</v>
      </c>
      <c r="B5" s="24" t="s">
        <v>76</v>
      </c>
      <c r="C5" s="24" t="s">
        <v>77</v>
      </c>
      <c r="D5" s="26">
        <f>CORREL(Contributions!C4:C11,C9:C16)</f>
        <v>0.62994078834871203</v>
      </c>
    </row>
    <row r="6" spans="1:6" ht="15" customHeight="1" x14ac:dyDescent="0.3">
      <c r="A6" s="24">
        <v>3</v>
      </c>
      <c r="B6" s="24" t="s">
        <v>78</v>
      </c>
      <c r="C6" s="24" t="s">
        <v>79</v>
      </c>
      <c r="D6" s="26">
        <f>CORREL(Contributions!D4:D11,D9:D16)</f>
        <v>0.48434343544519759</v>
      </c>
    </row>
    <row r="7" spans="1:6" ht="15" customHeight="1" x14ac:dyDescent="0.3">
      <c r="A7" s="27">
        <v>4</v>
      </c>
      <c r="B7" s="24" t="s">
        <v>80</v>
      </c>
      <c r="C7" s="24" t="s">
        <v>81</v>
      </c>
      <c r="D7" s="26">
        <f>CORREL(Contributions!E4:E11,E9:E16)</f>
        <v>0.34879055774945689</v>
      </c>
    </row>
    <row r="8" spans="1:6" ht="15" customHeight="1" x14ac:dyDescent="0.3">
      <c r="A8" s="22" t="s">
        <v>47</v>
      </c>
      <c r="B8" s="22" t="s">
        <v>82</v>
      </c>
      <c r="C8" s="22" t="s">
        <v>83</v>
      </c>
      <c r="D8" s="22" t="s">
        <v>84</v>
      </c>
      <c r="E8" s="22" t="s">
        <v>85</v>
      </c>
    </row>
    <row r="9" spans="1:6" ht="15" customHeight="1" x14ac:dyDescent="0.3">
      <c r="A9" s="24" t="str">
        <f>Contributions!A4</f>
        <v>E1</v>
      </c>
      <c r="B9" s="26">
        <f>Contributions!$F$4-Contributions!B4</f>
        <v>14</v>
      </c>
      <c r="C9" s="26">
        <f>Contributions!$F$4-Contributions!C4</f>
        <v>10</v>
      </c>
      <c r="D9" s="26">
        <f>Contributions!$F$4-Contributions!D4</f>
        <v>16</v>
      </c>
      <c r="E9" s="26">
        <f>Contributions!$F$4-Contributions!E4</f>
        <v>14</v>
      </c>
    </row>
    <row r="10" spans="1:6" ht="15" customHeight="1" x14ac:dyDescent="0.3">
      <c r="A10" s="24" t="str">
        <f>Contributions!A5</f>
        <v>E2</v>
      </c>
      <c r="B10" s="26">
        <f>Contributions!$F$5-Contributions!B5</f>
        <v>8</v>
      </c>
      <c r="C10" s="26">
        <f>Contributions!$F$5-Contributions!C5</f>
        <v>6</v>
      </c>
      <c r="D10" s="26">
        <f>Contributions!$F$5-Contributions!D5</f>
        <v>12</v>
      </c>
      <c r="E10" s="26">
        <f>Contributions!$F$5-Contributions!E5</f>
        <v>10</v>
      </c>
    </row>
    <row r="11" spans="1:6" ht="15" customHeight="1" x14ac:dyDescent="0.3">
      <c r="A11" s="24" t="str">
        <f>Contributions!A6</f>
        <v>E3</v>
      </c>
      <c r="B11" s="26">
        <f>Contributions!$F$6-Contributions!B6</f>
        <v>15</v>
      </c>
      <c r="C11" s="26">
        <f>Contributions!$F$6-Contributions!C6</f>
        <v>6</v>
      </c>
      <c r="D11" s="26">
        <f>Contributions!$F$6-Contributions!D6</f>
        <v>13</v>
      </c>
      <c r="E11" s="26">
        <f>Contributions!$F$6-Contributions!E6</f>
        <v>11</v>
      </c>
    </row>
    <row r="12" spans="1:6" ht="15" customHeight="1" x14ac:dyDescent="0.3">
      <c r="A12" s="24" t="str">
        <f>Contributions!A7</f>
        <v>E4</v>
      </c>
      <c r="B12" s="26">
        <f>Contributions!$F$7-Contributions!B7</f>
        <v>9</v>
      </c>
      <c r="C12" s="26">
        <f>Contributions!$F$7-Contributions!C7</f>
        <v>8</v>
      </c>
      <c r="D12" s="26">
        <f>Contributions!$F$7-Contributions!D7</f>
        <v>11</v>
      </c>
      <c r="E12" s="26">
        <f>Contributions!$F$7-Contributions!E7</f>
        <v>11</v>
      </c>
    </row>
    <row r="13" spans="1:6" ht="15" customHeight="1" x14ac:dyDescent="0.3">
      <c r="A13" s="24" t="str">
        <f>Contributions!A8</f>
        <v>E5</v>
      </c>
      <c r="B13" s="26">
        <f>Contributions!$F$8-Contributions!B8</f>
        <v>11</v>
      </c>
      <c r="C13" s="26">
        <f>Contributions!$F$8-Contributions!C8</f>
        <v>4</v>
      </c>
      <c r="D13" s="26">
        <f>Contributions!$F$8-Contributions!D8</f>
        <v>11</v>
      </c>
      <c r="E13" s="26">
        <f>Contributions!$F$8-Contributions!E8</f>
        <v>7</v>
      </c>
    </row>
    <row r="14" spans="1:6" ht="15" customHeight="1" x14ac:dyDescent="0.3">
      <c r="A14" s="24" t="str">
        <f>Contributions!A9</f>
        <v>E6</v>
      </c>
      <c r="B14" s="26">
        <f>Contributions!$F$9-Contributions!B9</f>
        <v>6</v>
      </c>
      <c r="C14" s="26">
        <f>Contributions!$F$9-Contributions!C9</f>
        <v>6</v>
      </c>
      <c r="D14" s="26">
        <f>Contributions!$F$9-Contributions!D9</f>
        <v>8</v>
      </c>
      <c r="E14" s="26">
        <f>Contributions!$F$9-Contributions!E9</f>
        <v>10</v>
      </c>
    </row>
    <row r="15" spans="1:6" ht="15" customHeight="1" x14ac:dyDescent="0.3">
      <c r="A15" s="24" t="str">
        <f>Contributions!A10</f>
        <v>E7</v>
      </c>
      <c r="B15" s="26">
        <f>Contributions!$F$10-Contributions!B10</f>
        <v>16</v>
      </c>
      <c r="C15" s="26">
        <f>Contributions!$F$10-Contributions!C10</f>
        <v>10</v>
      </c>
      <c r="D15" s="26">
        <f>Contributions!$F$10-Contributions!D10</f>
        <v>18</v>
      </c>
      <c r="E15" s="26">
        <f>Contributions!$F$10-Contributions!E10</f>
        <v>16</v>
      </c>
    </row>
    <row r="16" spans="1:6" ht="15" customHeight="1" x14ac:dyDescent="0.3">
      <c r="A16" s="24" t="str">
        <f>Contributions!A11</f>
        <v>E8</v>
      </c>
      <c r="B16" s="26">
        <f>Contributions!$F$11-Contributions!B11</f>
        <v>5</v>
      </c>
      <c r="C16" s="26">
        <f>Contributions!$F$11-Contributions!C11</f>
        <v>2</v>
      </c>
      <c r="D16" s="26">
        <f>Contributions!$F$11-Contributions!D11</f>
        <v>5</v>
      </c>
      <c r="E16" s="26">
        <f>Contributions!$F$11-Contributions!E11</f>
        <v>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zoomScaleNormal="100" workbookViewId="0">
      <selection activeCell="B18" sqref="B18"/>
    </sheetView>
  </sheetViews>
  <sheetFormatPr baseColWidth="10" defaultColWidth="8.6640625" defaultRowHeight="14.4" x14ac:dyDescent="0.3"/>
  <cols>
    <col min="1" max="1" width="33.77734375" style="21" customWidth="1"/>
    <col min="2" max="2" width="39.88671875" style="21" customWidth="1"/>
    <col min="3" max="3" width="56" customWidth="1"/>
  </cols>
  <sheetData>
    <row r="1" spans="1:3" ht="15" customHeight="1" x14ac:dyDescent="0.3">
      <c r="A1" s="37" t="s">
        <v>86</v>
      </c>
      <c r="B1" s="37"/>
      <c r="C1" s="37"/>
    </row>
    <row r="3" spans="1:3" ht="15" customHeight="1" x14ac:dyDescent="0.3">
      <c r="A3" s="22" t="s">
        <v>27</v>
      </c>
      <c r="B3" s="22" t="s">
        <v>87</v>
      </c>
    </row>
    <row r="4" spans="1:3" ht="15" customHeight="1" x14ac:dyDescent="0.3">
      <c r="A4" s="24">
        <v>1</v>
      </c>
      <c r="B4" s="26">
        <f>_xlfn.VAR.S(Contributions!B4:B11)</f>
        <v>4.2857142857142856</v>
      </c>
    </row>
    <row r="5" spans="1:3" ht="15" customHeight="1" x14ac:dyDescent="0.3">
      <c r="A5" s="24">
        <v>2</v>
      </c>
      <c r="B5" s="26">
        <f>_xlfn.VAR.S(Contributions!C4:C11)</f>
        <v>6</v>
      </c>
    </row>
    <row r="6" spans="1:3" ht="15" customHeight="1" x14ac:dyDescent="0.3">
      <c r="A6" s="24">
        <v>3</v>
      </c>
      <c r="B6" s="26">
        <f>_xlfn.VAR.S(Contributions!D4:D11)</f>
        <v>1.0714285714285714</v>
      </c>
    </row>
    <row r="7" spans="1:3" ht="15" customHeight="1" x14ac:dyDescent="0.3">
      <c r="A7" s="24">
        <v>4</v>
      </c>
      <c r="B7" s="26">
        <f>_xlfn.VAR.S(Contributions!E4:E11)</f>
        <v>2.2142857142857144</v>
      </c>
    </row>
    <row r="9" spans="1:3" ht="15" customHeight="1" x14ac:dyDescent="0.3">
      <c r="A9" s="27" t="s">
        <v>88</v>
      </c>
      <c r="B9" s="23">
        <v>4</v>
      </c>
    </row>
    <row r="10" spans="1:3" ht="15" customHeight="1" x14ac:dyDescent="0.3">
      <c r="A10" s="27" t="s">
        <v>89</v>
      </c>
      <c r="B10" s="26">
        <f>SUM(B4:B7)</f>
        <v>13.571428571428569</v>
      </c>
    </row>
    <row r="11" spans="1:3" ht="15" customHeight="1" x14ac:dyDescent="0.3">
      <c r="A11" s="27" t="s">
        <v>90</v>
      </c>
      <c r="B11" s="26">
        <f>_xlfn.VAR.S(Contributions!F4:F11)</f>
        <v>22.285714285714285</v>
      </c>
    </row>
    <row r="12" spans="1:3" ht="15" customHeight="1" x14ac:dyDescent="0.3">
      <c r="A12" s="27" t="s">
        <v>91</v>
      </c>
      <c r="B12" s="28">
        <f>(B9/(B9-1))*(1-(B10/B11))</f>
        <v>0.5213675213675214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Vue-Synthese</vt:lpstr>
      <vt:lpstr>Bareme</vt:lpstr>
      <vt:lpstr>Donnees</vt:lpstr>
      <vt:lpstr>Contributions</vt:lpstr>
      <vt:lpstr>Difficulte</vt:lpstr>
      <vt:lpstr>Discrimination</vt:lpstr>
      <vt:lpstr>AlphaCronbach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Feten Ben Moncef</cp:lastModifiedBy>
  <cp:revision>0</cp:revision>
  <dcterms:created xsi:type="dcterms:W3CDTF">2026-08-26T00:01:49Z</dcterms:created>
  <dcterms:modified xsi:type="dcterms:W3CDTF">2026-08-26T21:24:57Z</dcterms:modified>
  <dc:language>en-US</dc:language>
</cp:coreProperties>
</file>